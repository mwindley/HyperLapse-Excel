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uri\OneDrive\Documents\Github\HyperLapse-Excel\"/>
    </mc:Choice>
  </mc:AlternateContent>
  <xr:revisionPtr revIDLastSave="0" documentId="13_ncr:1_{57D9E314-E7F5-4CC2-9950-70F7F870D5F4}" xr6:coauthVersionLast="47" xr6:coauthVersionMax="47" xr10:uidLastSave="{00000000-0000-0000-0000-000000000000}"/>
  <bookViews>
    <workbookView xWindow="-110" yWindow="-110" windowWidth="38620" windowHeight="21100" activeTab="4" xr2:uid="{00000000-000D-0000-FFFF-FFFF00000000}"/>
  </bookViews>
  <sheets>
    <sheet name="Control" sheetId="8" r:id="rId1"/>
    <sheet name="Settings" sheetId="1" r:id="rId2"/>
    <sheet name="Monitor" sheetId="2" r:id="rId3"/>
    <sheet name="Sequence" sheetId="3" r:id="rId4"/>
    <sheet name="CartLog" sheetId="4" r:id="rId5"/>
    <sheet name="GimbalLog" sheetId="5" r:id="rId6"/>
    <sheet name="Log" sheetId="6" r:id="rId7"/>
    <sheet name="AstroTable" sheetId="7" r:id="rId8"/>
    <sheet name="Trace" sheetId="9" r:id="rId9"/>
  </sheets>
  <functionGroups builtInGroupCount="19"/>
  <definedNames>
    <definedName name="btnExportModules">Control!$C$10</definedName>
    <definedName name="btnGenerateGCTable">Control!$C$8</definedName>
    <definedName name="btnGetSunsetTime">Control!$C$7</definedName>
    <definedName name="btnImportModules">Control!$C$11</definedName>
    <definedName name="btnInitShoot">Control!$C$4</definedName>
    <definedName name="btnIntegrateBicycle">Control!$C$9</definedName>
    <definedName name="btnStartSequence">Control!$C$5</definedName>
    <definedName name="btnStopSequence">Control!$C$6</definedName>
    <definedName name="btnSystemCheck">Control!$C$3</definedName>
    <definedName name="dataArduinoIP">Settings!$C$5</definedName>
    <definedName name="dataAstroDusk">Settings!$F$22</definedName>
    <definedName name="dataCameraIP">Settings!$C$4</definedName>
    <definedName name="dataCartHeading">Settings!$C$11</definedName>
    <definedName name="dataCartOverdrive">Settings!$C$38</definedName>
    <definedName name="dataCartSpeed">Settings!$C$37</definedName>
    <definedName name="dataCartSteering">Settings!$C$35</definedName>
    <definedName name="dataCartVoltage">Settings!$C$36</definedName>
    <definedName name="dataCivilDawn">Settings!$F$19</definedName>
    <definedName name="dataCivilDusk">Settings!$F$20</definedName>
    <definedName name="dataCommCameraCheck">Settings!$C$23</definedName>
    <definedName name="dataCurrentAv">Settings!$C$18</definedName>
    <definedName name="dataCurrentISO">Settings!$C$20</definedName>
    <definedName name="dataCurrentMode">Settings!$C$17</definedName>
    <definedName name="dataCurrentTv">Settings!$C$19</definedName>
    <definedName name="dataGimbalPitch">Settings!$C$29</definedName>
    <definedName name="dataGimbalRoll">Settings!$C$28</definedName>
    <definedName name="dataGimbalTargetPitch">Settings!$C$31</definedName>
    <definedName name="dataGimbalTargetRoll">Settings!$C$32</definedName>
    <definedName name="dataGimbalTargetYaw">Settings!$C$30</definedName>
    <definedName name="dataGimbalYaw">Settings!$C$27</definedName>
    <definedName name="dataLatitude">Settings!$C$8</definedName>
    <definedName name="dataLongitude">Settings!$C$9</definedName>
    <definedName name="dataLuminance">Settings!$C$21</definedName>
    <definedName name="dataLumTargetSunrise">Settings!$C$42</definedName>
    <definedName name="dataLumTargetSunset">Settings!$C$41</definedName>
    <definedName name="dataNauticalDusk">Settings!$F$21</definedName>
    <definedName name="dataPhase1Start">Settings!$F$7</definedName>
    <definedName name="dataPhase2aStart">Settings!$F$10</definedName>
    <definedName name="dataPhase2bStart">Settings!$F$11</definedName>
    <definedName name="dataPhase3Start">Settings!$F$12</definedName>
    <definedName name="dataPhase4aStart">Settings!$F$13</definedName>
    <definedName name="dataPhase4bStart">Settings!$F$14</definedName>
    <definedName name="dataPhase5Start">Settings!$F$15</definedName>
    <definedName name="dataReplayStart">Settings!$C$14</definedName>
    <definedName name="dataSequenceRunning">Settings!$C$24</definedName>
    <definedName name="dataShotCount">Settings!$C$22</definedName>
    <definedName name="dataSunriseTime">Settings!$F$18</definedName>
    <definedName name="dataSunsetTime">Settings!$F$8</definedName>
    <definedName name="dataUTCOffset">Settings!$C$10</definedName>
    <definedName name="monAv">Monitor!$C$9</definedName>
    <definedName name="monCartSpeed">Monitor!$C$16</definedName>
    <definedName name="monCartSteering">Monitor!$F$16</definedName>
    <definedName name="monCartVoltage">Monitor!$C$17</definedName>
    <definedName name="monGimbalPitch">Monitor!$F$13</definedName>
    <definedName name="monGimbalYaw">Monitor!$C$13</definedName>
    <definedName name="monInterval">Monitor!$F$9</definedName>
    <definedName name="monISO">Monitor!$F$8</definedName>
    <definedName name="monLuminance">Monitor!$C$10</definedName>
    <definedName name="monPhase">Monitor!$F$4</definedName>
    <definedName name="monSequence">Monitor!$C$5</definedName>
    <definedName name="monShotCount">Monitor!$F$10</definedName>
    <definedName name="monTime">Monitor!$C$4</definedName>
    <definedName name="monTv">Monitor!$C$8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" i="1" l="1"/>
  <c r="G12" i="1"/>
  <c r="G13" i="1"/>
  <c r="G14" i="1"/>
  <c r="G15" i="1"/>
  <c r="G10" i="1"/>
  <c r="G8" i="1"/>
  <c r="F9" i="1" l="1"/>
</calcChain>
</file>

<file path=xl/sharedStrings.xml><?xml version="1.0" encoding="utf-8"?>
<sst xmlns="http://schemas.openxmlformats.org/spreadsheetml/2006/main" count="749" uniqueCount="343">
  <si>
    <t>HyperLapse Cart — Settings</t>
  </si>
  <si>
    <t>Network</t>
  </si>
  <si>
    <t>Canon R3 CCAPI IP</t>
  </si>
  <si>
    <t>Arduino IP</t>
  </si>
  <si>
    <t>Phase Times (auto-calculated)</t>
  </si>
  <si>
    <t>Location</t>
  </si>
  <si>
    <t>Phase 1 start</t>
  </si>
  <si>
    <t>Latitude</t>
  </si>
  <si>
    <t>Sunset time</t>
  </si>
  <si>
    <t>Longitude</t>
  </si>
  <si>
    <t>Sunrise time</t>
  </si>
  <si>
    <t>UTC Offset (hrs)</t>
  </si>
  <si>
    <t>Phase 2a start</t>
  </si>
  <si>
    <t>Cart heading (°N)</t>
  </si>
  <si>
    <t>Phase 2b start</t>
  </si>
  <si>
    <t>Phase 3 start</t>
  </si>
  <si>
    <t>Cart Replay</t>
  </si>
  <si>
    <t>Phase 4a start</t>
  </si>
  <si>
    <t>Replay start time</t>
  </si>
  <si>
    <t>16:00:00</t>
  </si>
  <si>
    <t>Phase 4b start</t>
  </si>
  <si>
    <t>Phase 5 start</t>
  </si>
  <si>
    <t>Camera State</t>
  </si>
  <si>
    <t>Shooting mode</t>
  </si>
  <si>
    <t>m</t>
  </si>
  <si>
    <t>Sun &amp; Twilight Times</t>
  </si>
  <si>
    <t>Aperture</t>
  </si>
  <si>
    <t>f1.8</t>
  </si>
  <si>
    <t>Sunrise</t>
  </si>
  <si>
    <t>Shutter speed</t>
  </si>
  <si>
    <t>Civil dawn (blue hour)</t>
  </si>
  <si>
    <t>ISO</t>
  </si>
  <si>
    <t>Civil dusk (golden hour)</t>
  </si>
  <si>
    <t>Last luminance</t>
  </si>
  <si>
    <t>Nautical dusk</t>
  </si>
  <si>
    <t>Shot count</t>
  </si>
  <si>
    <t>Astronomical dark</t>
  </si>
  <si>
    <t>Camera status</t>
  </si>
  <si>
    <t>--</t>
  </si>
  <si>
    <t>Sequence</t>
  </si>
  <si>
    <t>STOPPED</t>
  </si>
  <si>
    <t>Gimbal State</t>
  </si>
  <si>
    <t>Live yaw (°)</t>
  </si>
  <si>
    <t>Live roll (°)</t>
  </si>
  <si>
    <t>Live pitch (°)</t>
  </si>
  <si>
    <t>Target yaw (°)</t>
  </si>
  <si>
    <t>Target pitch (°)</t>
  </si>
  <si>
    <t>Target roll (°)</t>
  </si>
  <si>
    <t>Cart State</t>
  </si>
  <si>
    <t>Steering offset (°)</t>
  </si>
  <si>
    <t>Voltage (v)</t>
  </si>
  <si>
    <t>Speed (m/hr)</t>
  </si>
  <si>
    <t>Overdrive ratio</t>
  </si>
  <si>
    <t>HyperLapse Cart — Live Monitor</t>
  </si>
  <si>
    <t>Status</t>
  </si>
  <si>
    <t>Current time</t>
  </si>
  <si>
    <t>Phase</t>
  </si>
  <si>
    <t>Camera</t>
  </si>
  <si>
    <t>Shutter (Tv)</t>
  </si>
  <si>
    <t>Interval</t>
  </si>
  <si>
    <t>Luminance</t>
  </si>
  <si>
    <t>Shots taken</t>
  </si>
  <si>
    <t>Gimbal</t>
  </si>
  <si>
    <t>Yaw (°)</t>
  </si>
  <si>
    <t>Pitch (°)</t>
  </si>
  <si>
    <t>Cart</t>
  </si>
  <si>
    <t>Steering (°)</t>
  </si>
  <si>
    <t>Operator Notes</t>
  </si>
  <si>
    <t>Replay Time</t>
  </si>
  <si>
    <t>Action</t>
  </si>
  <si>
    <t>Value</t>
  </si>
  <si>
    <t>Notes</t>
  </si>
  <si>
    <t>Duration (s)</t>
  </si>
  <si>
    <t>Distance (m)</t>
  </si>
  <si>
    <t>Segment End</t>
  </si>
  <si>
    <t>Timestamp</t>
  </si>
  <si>
    <t>Type</t>
  </si>
  <si>
    <t>Description</t>
  </si>
  <si>
    <t>Category</t>
  </si>
  <si>
    <t>Message</t>
  </si>
  <si>
    <t>Time</t>
  </si>
  <si>
    <t>GC above horizon</t>
  </si>
  <si>
    <t>http://192.168.1.99:8080</t>
  </si>
  <si>
    <t>http://192.168.1.97</t>
  </si>
  <si>
    <t>SEQ</t>
  </si>
  <si>
    <t>GC Az (Â°)</t>
  </si>
  <si>
    <t>GC Alt (Â°)</t>
  </si>
  <si>
    <t>Sun Az (Â°)</t>
  </si>
  <si>
    <t>Sun Alt (Â°)</t>
  </si>
  <si>
    <t>no</t>
  </si>
  <si>
    <t>YES</t>
  </si>
  <si>
    <t>ASTRO</t>
  </si>
  <si>
    <t>CAMERA</t>
  </si>
  <si>
    <t>ISO set to 100</t>
  </si>
  <si>
    <t>Tv set to 1/5000</t>
  </si>
  <si>
    <t>2.0s</t>
  </si>
  <si>
    <t>HyperLapse Control</t>
  </si>
  <si>
    <t>System Check</t>
  </si>
  <si>
    <t>Init Shoot</t>
  </si>
  <si>
    <t>Start Sequence</t>
  </si>
  <si>
    <t>Stop Sequence</t>
  </si>
  <si>
    <t>Get Sunset Time</t>
  </si>
  <si>
    <t>Generate GC Table</t>
  </si>
  <si>
    <t>Export Modules</t>
  </si>
  <si>
    <t>Import Modules</t>
  </si>
  <si>
    <t>Double-click any button to run.</t>
  </si>
  <si>
    <t>Phase 5 â€” Daytime</t>
  </si>
  <si>
    <t>UTILS</t>
  </si>
  <si>
    <t>Tv lookup populated from camera: 60 values</t>
  </si>
  <si>
    <t>Phase 2a/2b target luminance (0–255 scale)</t>
  </si>
  <si>
    <t>Phase 4a/4b target luminance (0–255 scale)</t>
  </si>
  <si>
    <t>Luminace</t>
  </si>
  <si>
    <t>Sunset: 17:25:44 Civil dusk: 17:51:05 Astro dark: 18:51:22</t>
  </si>
  <si>
    <t>Phase times calculated from sunset 17:25:44</t>
  </si>
  <si>
    <t>GC table generated â€” 97 rows</t>
  </si>
  <si>
    <t>Mode set to m</t>
  </si>
  <si>
    <t>Av set to f1.8</t>
  </si>
  <si>
    <t>Camera initialised: M f1.8 ISO100 1/5000</t>
  </si>
  <si>
    <t>InitShoot complete. Sunset: 17:25:44</t>
  </si>
  <si>
    <t xml:space="preserve">iso </t>
  </si>
  <si>
    <t>LUMINANCE</t>
  </si>
  <si>
    <t>Sunset target: 60</t>
  </si>
  <si>
    <t>Sunrise target: 40</t>
  </si>
  <si>
    <t>luminance.py found at C:\Users\mauri\OneDrive\Documents\Github\HyperLapse-Excel\Python\luminance.py</t>
  </si>
  <si>
    <t>TIMING</t>
  </si>
  <si>
    <t>shot=1 Av=f1.8 Tv=1/5000 ISO=100 int=-</t>
  </si>
  <si>
    <t>AdjustExposure: no luminance available (-1), skipping</t>
  </si>
  <si>
    <t>Shot Tv=1/5000 ISO=100 Lum=-1 mode=brighten shot=1</t>
  </si>
  <si>
    <t>shot=2 Av=f1.8 Tv=1/5000 ISO=100 int=3.0s</t>
  </si>
  <si>
    <t>lum=1 target=60 deadzone=10 mode=1 stale=1 Tv=1/5000 ISO=100</t>
  </si>
  <si>
    <t>Cadence slip 2.0s â€” resynced (interval=2.0s)</t>
  </si>
  <si>
    <t>Tv set to 1/4000</t>
  </si>
  <si>
    <t>Tv set to 1/3200</t>
  </si>
  <si>
    <t>Tv set to 1/2500</t>
  </si>
  <si>
    <t>Tv set to 1/2000</t>
  </si>
  <si>
    <t>Tv set to 1/1600</t>
  </si>
  <si>
    <t>Tv set to 1/1250</t>
  </si>
  <si>
    <t>Tv set to 1/1000</t>
  </si>
  <si>
    <t>Tv set to 1/800</t>
  </si>
  <si>
    <t>Tv set to 1/640</t>
  </si>
  <si>
    <t>Tv set to 1/500</t>
  </si>
  <si>
    <t>Tv set to 1/400</t>
  </si>
  <si>
    <t>Tv set to 1/320</t>
  </si>
  <si>
    <t>Tv set to 1/250</t>
  </si>
  <si>
    <t>Tv set to 1/200</t>
  </si>
  <si>
    <t>Tv set to 1/160</t>
  </si>
  <si>
    <t>Tv set to 1/125</t>
  </si>
  <si>
    <t>Tv set to 1/100</t>
  </si>
  <si>
    <t>Tv set to 1/80</t>
  </si>
  <si>
    <t>Tv set to 1/60</t>
  </si>
  <si>
    <t>shot=9 Av=f1.8 Tv=1/1000 ISO=100 int=3.0s</t>
  </si>
  <si>
    <t>Shot Tv=1/4000 ISO=100 Lum=1 mode=brighten shot=3</t>
  </si>
  <si>
    <t>lum=1 target=60 deadzone=10 mode=1 stale=2 Tv=1/4000 ISO=100</t>
  </si>
  <si>
    <t>Shot Tv=1/3200 ISO=100 Lum=1 mode=brighten shot=4</t>
  </si>
  <si>
    <t>lum=1 target=60 deadzone=10 mode=1 stale=2 Tv=1/3200 ISO=100</t>
  </si>
  <si>
    <t>Shot Tv=1/2500 ISO=100 Lum=1 mode=brighten shot=5</t>
  </si>
  <si>
    <t>lum=2 target=60 deadzone=10 mode=1 stale=2 Tv=1/2000 ISO=100</t>
  </si>
  <si>
    <t>Shot Tv=1/1600 ISO=100 Lum=2 mode=brighten shot=7</t>
  </si>
  <si>
    <t>1/50</t>
  </si>
  <si>
    <t>Tv set to 1/50</t>
  </si>
  <si>
    <t>shot=3 Av=f1.8 Tv=1/4000 ISO=100 int=3.0s</t>
  </si>
  <si>
    <t>shot=4 Av=f1.8 Tv=1/3200 ISO=100 int=3.0s</t>
  </si>
  <si>
    <t>shot=5 Av=f1.8 Tv=1/2500 ISO=100 int=3.0s</t>
  </si>
  <si>
    <t>shot=6 Av=f1.8 Tv=1/2000 ISO=100 int=3.0s</t>
  </si>
  <si>
    <t>shot=10 Av=f1.8 Tv=1/800 ISO=100 int=3.0s</t>
  </si>
  <si>
    <t>shot=11 Av=f1.8 Tv=1/640 ISO=100 int=3.0s</t>
  </si>
  <si>
    <t>shot=12 Av=f1.8 Tv=1/500 ISO=100 int=3.0s</t>
  </si>
  <si>
    <t>shot=13 Av=f1.8 Tv=1/400 ISO=100 int=3.0s</t>
  </si>
  <si>
    <t>shot=14 Av=f1.8 Tv=1/320 ISO=100 int=3.0s</t>
  </si>
  <si>
    <t>shot=15 Av=f1.8 Tv=1/250 ISO=100 int=3.0s</t>
  </si>
  <si>
    <t>shot=16 Av=f1.8 Tv=1/200 ISO=100 int=3.0s</t>
  </si>
  <si>
    <t>shot=17 Av=f1.8 Tv=1/160 ISO=100 int=4.0s</t>
  </si>
  <si>
    <t>shot=8 Av=f1.8 Tv=1/1250 ISO=100 int=3.0s</t>
  </si>
  <si>
    <t>Shot Tv=1/640 ISO=100 Lum=5 mode=brighten shot=11</t>
  </si>
  <si>
    <t>shot=19 Av=f1.8 Tv=1/100 ISO=100 int=3.0s</t>
  </si>
  <si>
    <t>shot=20 Av=f1.8 Tv=1/80 ISO=100 int=3.0s</t>
  </si>
  <si>
    <t>shot=21 Av=f1.8 Tv=1/60 ISO=100 int=3.0s</t>
  </si>
  <si>
    <t>2026-05-11 13:36:31</t>
  </si>
  <si>
    <t>2026-05-11 13:36:32</t>
  </si>
  <si>
    <t>2026-05-11 13:36:36</t>
  </si>
  <si>
    <t>2026-05-11 13:36:37</t>
  </si>
  <si>
    <t>2026-05-11 13:36:38</t>
  </si>
  <si>
    <t>2026-05-11 13:40:14</t>
  </si>
  <si>
    <t>2026-05-11 13:40:16</t>
  </si>
  <si>
    <t>2026-05-11 13:40:17</t>
  </si>
  <si>
    <t>poll=0ms status=137ms monitor=12ms heartbeat=113ms shot=219ms kickoff=406ms</t>
  </si>
  <si>
    <t>2026-05-11 13:40:19</t>
  </si>
  <si>
    <t>poll=0ms status=121ms monitor=12ms heartbeat=109ms shot=0ms kickoff=289ms</t>
  </si>
  <si>
    <t>2026-05-11 13:40:20</t>
  </si>
  <si>
    <t>lum=57 target=60 deadzone=10 mode=1 stale=3 Tv=1/5000 ISO=100</t>
  </si>
  <si>
    <t>Shot Tv=1/5000 ISO=100 Lum=57 mode=brighten shot=2</t>
  </si>
  <si>
    <t>2026-05-11 13:40:23</t>
  </si>
  <si>
    <t>poll=0ms status=199ms monitor=8ms heartbeat=102ms shot=461ms kickoff=418ms</t>
  </si>
  <si>
    <t>2026-05-11 13:40:26</t>
  </si>
  <si>
    <t>poll=0ms status=125ms monitor=12ms heartbeat=113ms shot=426ms kickoff=285ms</t>
  </si>
  <si>
    <t>2026-05-11 13:40:29</t>
  </si>
  <si>
    <t>poll=0ms status=121ms monitor=12ms heartbeat=94ms shot=406ms kickoff=332ms</t>
  </si>
  <si>
    <t>2026-05-11 13:40:31</t>
  </si>
  <si>
    <t>poll=0ms status=113ms monitor=8ms heartbeat=113ms shot=0ms kickoff=328ms</t>
  </si>
  <si>
    <t>2026-05-11 13:40:32</t>
  </si>
  <si>
    <t>lum=1 target=60 deadzone=10 mode=1 stale=3 Tv=1/2500 ISO=100</t>
  </si>
  <si>
    <t>Shot Tv=1/2000 ISO=100 Lum=1 mode=brighten shot=6</t>
  </si>
  <si>
    <t>poll=4ms status=117ms monitor=4ms heartbeat=109ms shot=480ms kickoff=0ms</t>
  </si>
  <si>
    <t>2026-05-11 13:40:34</t>
  </si>
  <si>
    <t>poll=0ms status=160ms monitor=16ms heartbeat=105ms shot=0ms kickoff=359ms</t>
  </si>
  <si>
    <t>2026-05-11 13:40:35</t>
  </si>
  <si>
    <t>shot=7 Av=f1.8 Tv=1/1600 ISO=100 int=3.0s</t>
  </si>
  <si>
    <t>poll=4ms status=117ms monitor=12ms heartbeat=117ms shot=457ms kickoff=0ms</t>
  </si>
  <si>
    <t>2026-05-11 13:40:37</t>
  </si>
  <si>
    <t>poll=0ms status=168ms monitor=20ms heartbeat=94ms shot=0ms kickoff=430ms</t>
  </si>
  <si>
    <t>2026-05-11 13:40:38</t>
  </si>
  <si>
    <t>lum=2 target=60 deadzone=10 mode=1 stale=2 Tv=1/1600 ISO=100</t>
  </si>
  <si>
    <t>Shot Tv=1/1250 ISO=100 Lum=2 mode=brighten shot=8</t>
  </si>
  <si>
    <t>poll=4ms status=160ms monitor=0ms heartbeat=117ms shot=465ms kickoff=0ms</t>
  </si>
  <si>
    <t>2026-05-11 13:40:40</t>
  </si>
  <si>
    <t>poll=0ms status=184ms monitor=8ms heartbeat=105ms shot=0ms kickoff=398ms</t>
  </si>
  <si>
    <t>2026-05-11 13:40:41</t>
  </si>
  <si>
    <t>lum=3 target=60 deadzone=10 mode=1 stale=2 Tv=1/1250 ISO=100</t>
  </si>
  <si>
    <t>Shot Tv=1/1000 ISO=100 Lum=3 mode=brighten shot=9</t>
  </si>
  <si>
    <t>poll=4ms status=172ms monitor=0ms heartbeat=113ms shot=473ms kickoff=0ms</t>
  </si>
  <si>
    <t>2026-05-11 13:40:44</t>
  </si>
  <si>
    <t>lum=4 target=60 deadzone=10 mode=1 stale=1 Tv=1/1000 ISO=100</t>
  </si>
  <si>
    <t>Shot Tv=1/800 ISO=100 Lum=4 mode=brighten shot=10</t>
  </si>
  <si>
    <t>poll=0ms status=297ms monitor=12ms heartbeat=273ms shot=488ms kickoff=402ms</t>
  </si>
  <si>
    <t>2026-05-11 13:40:47</t>
  </si>
  <si>
    <t>lum=5 target=60 deadzone=10 mode=1 stale=2 Tv=1/800 ISO=100</t>
  </si>
  <si>
    <t>poll=0ms status=125ms monitor=8ms heartbeat=94ms shot=477ms kickoff=367ms</t>
  </si>
  <si>
    <t>2026-05-11 13:40:49</t>
  </si>
  <si>
    <t>poll=0ms status=125ms monitor=8ms heartbeat=109ms shot=0ms kickoff=324ms</t>
  </si>
  <si>
    <t>2026-05-11 13:40:50</t>
  </si>
  <si>
    <t>lum=6 target=60 deadzone=10 mode=1 stale=3 Tv=1/640 ISO=100</t>
  </si>
  <si>
    <t>Shot Tv=1/500 ISO=100 Lum=6 mode=brighten shot=12</t>
  </si>
  <si>
    <t>poll=0ms status=223ms monitor=4ms heartbeat=172ms shot=504ms kickoff=0ms</t>
  </si>
  <si>
    <t>2026-05-11 13:40:52</t>
  </si>
  <si>
    <t>poll=0ms status=137ms monitor=8ms heartbeat=125ms shot=0ms kickoff=348ms</t>
  </si>
  <si>
    <t>2026-05-11 13:40:53</t>
  </si>
  <si>
    <t>lum=8 target=60 deadzone=10 mode=1 stale=2 Tv=1/500 ISO=100</t>
  </si>
  <si>
    <t>Shot Tv=1/400 ISO=100 Lum=8 mode=brighten shot=13</t>
  </si>
  <si>
    <t>poll=0ms status=215ms monitor=4ms heartbeat=109ms shot=453ms kickoff=0ms</t>
  </si>
  <si>
    <t>2026-05-11 13:40:56</t>
  </si>
  <si>
    <t>lum=10 target=60 deadzone=10 mode=1 stale=1 Tv=1/400 ISO=100</t>
  </si>
  <si>
    <t>Shot Tv=1/320 ISO=100 Lum=10 mode=brighten shot=14</t>
  </si>
  <si>
    <t>poll=0ms status=207ms monitor=12ms heartbeat=109ms shot=492ms kickoff=367ms</t>
  </si>
  <si>
    <t>2026-05-11 13:40:59</t>
  </si>
  <si>
    <t>lum=12 target=60 deadzone=10 mode=1 stale=2 Tv=1/320 ISO=100</t>
  </si>
  <si>
    <t>Shot Tv=1/250 ISO=100 Lum=12 mode=brighten shot=15</t>
  </si>
  <si>
    <t>poll=0ms status=133ms monitor=16ms heartbeat=242ms shot=492ms kickoff=500ms</t>
  </si>
  <si>
    <t>2026-05-11 13:41:02</t>
  </si>
  <si>
    <t>lum=14 target=60 deadzone=10 mode=1 stale=2 Tv=1/250 ISO=100</t>
  </si>
  <si>
    <t>Shot Tv=1/200 ISO=100 Lum=14 mode=brighten shot=16</t>
  </si>
  <si>
    <t>poll=0ms status=172ms monitor=8ms heartbeat=102ms shot=461ms kickoff=434ms</t>
  </si>
  <si>
    <t>2026-05-11 13:41:05</t>
  </si>
  <si>
    <t>lum=17 target=60 deadzone=10 mode=1 stale=2 Tv=1/200 ISO=100</t>
  </si>
  <si>
    <t>2026-05-11 13:41:06</t>
  </si>
  <si>
    <t>Shot Tv=1/160 ISO=100 Lum=17 mode=brighten shot=17</t>
  </si>
  <si>
    <t>poll=0ms status=215ms monitor=8ms heartbeat=188ms shot=422ms kickoff=656ms</t>
  </si>
  <si>
    <t>2026-05-11 13:41:09</t>
  </si>
  <si>
    <t>lum=22 target=60 deadzone=10 mode=1 stale=0 Tv=1/160 ISO=100</t>
  </si>
  <si>
    <t>2026-05-11 13:41:12</t>
  </si>
  <si>
    <t>shot=18 Av=f1.8 Tv=1/125 ISO=100 int=6.0s</t>
  </si>
  <si>
    <t>Shot Tv=1/125 ISO=100 Lum=22 mode=brighten shot=18</t>
  </si>
  <si>
    <t>poll=0ms status=512ms monitor=12ms heartbeat=188ms shot=3738ms kickoff=0ms</t>
  </si>
  <si>
    <t>2026-05-11 13:41:15</t>
  </si>
  <si>
    <t>lum=22 target=60 deadzone=10 mode=1 stale=1 Tv=1/125 ISO=100</t>
  </si>
  <si>
    <t>2026-05-11 13:41:16</t>
  </si>
  <si>
    <t>Cadence slip 0.0s â€” resynced (interval=2.0s)</t>
  </si>
  <si>
    <t>Shot Tv=1/100 ISO=100 Lum=22 mode=brighten shot=19</t>
  </si>
  <si>
    <t>poll=0ms status=184ms monitor=8ms heartbeat=105ms shot=469ms kickoff=398ms</t>
  </si>
  <si>
    <t>2026-05-11 13:41:19</t>
  </si>
  <si>
    <t>lum=32 target=60 deadzone=10 mode=1 stale=1 Tv=1/100 ISO=100</t>
  </si>
  <si>
    <t>Shot Tv=1/80 ISO=100 Lum=32 mode=brighten shot=20</t>
  </si>
  <si>
    <t>poll=0ms status=117ms monitor=16ms heartbeat=148ms shot=484ms kickoff=0ms</t>
  </si>
  <si>
    <t>2026-05-11 13:41:21</t>
  </si>
  <si>
    <t>poll=0ms status=148ms monitor=8ms heartbeat=109ms shot=0ms kickoff=516ms</t>
  </si>
  <si>
    <t>2026-05-11 13:41:22</t>
  </si>
  <si>
    <t>lum=32 target=60 deadzone=10 mode=1 stale=5 Tv=1/80 ISO=100</t>
  </si>
  <si>
    <t>Shot Tv=1/60 ISO=100 Lum=32 mode=brighten shot=21</t>
  </si>
  <si>
    <t>poll=0ms status=133ms monitor=8ms heartbeat=148ms shot=590ms kickoff=0ms</t>
  </si>
  <si>
    <t>2026-05-11 13:41:25</t>
  </si>
  <si>
    <t>lum=41 target=60 deadzone=10 mode=1 stale=2 Tv=1/60 ISO=100</t>
  </si>
  <si>
    <t>shot=22 Av=f1.8 Tv=1/50 ISO=100 int=3.0s</t>
  </si>
  <si>
    <t>Shot Tv=1/50 ISO=100 Lum=41 mode=brighten shot=22</t>
  </si>
  <si>
    <t>poll=0ms status=117ms monitor=12ms heartbeat=102ms shot=500ms kickoff=355ms</t>
  </si>
  <si>
    <t>2026-05-11 13:41:28</t>
  </si>
  <si>
    <t>lum=50 target=60 deadzone=10 mode=1 stale=2 Tv=1/50 ISO=100</t>
  </si>
  <si>
    <t>shot=23 Av=f1.8 Tv=1/50 ISO=100 int=3.0s</t>
  </si>
  <si>
    <t>Shot Tv=1/50 ISO=100 Lum=50 mode=brighten shot=23</t>
  </si>
  <si>
    <t>poll=0ms status=141ms monitor=12ms heartbeat=117ms shot=145ms kickoff=535ms</t>
  </si>
  <si>
    <t>2026-05-11 13:41:31</t>
  </si>
  <si>
    <t>lum=62 target=60 deadzone=10 mode=1 stale=2 Tv=1/50 ISO=100</t>
  </si>
  <si>
    <t>shot=24 Av=f1.8 Tv=1/50 ISO=100 int=3.0s</t>
  </si>
  <si>
    <t>Shot Tv=1/50 ISO=100 Lum=62 mode=brighten shot=24</t>
  </si>
  <si>
    <t>poll=0ms status=117ms monitor=8ms heartbeat=105ms shot=152ms kickoff=371ms</t>
  </si>
  <si>
    <t>2026-05-11 13:41:34</t>
  </si>
  <si>
    <t>lum=63 target=60 deadzone=10 mode=1 stale=2 Tv=1/50 ISO=100</t>
  </si>
  <si>
    <t>shot=25 Av=f1.8 Tv=1/50 ISO=100 int=3.0s</t>
  </si>
  <si>
    <t>Shot Tv=1/50 ISO=100 Lum=63 mode=brighten shot=25</t>
  </si>
  <si>
    <t>poll=0ms status=137ms monitor=8ms heartbeat=105ms shot=121ms kickoff=484ms</t>
  </si>
  <si>
    <t>2026-05-11 13:41:37</t>
  </si>
  <si>
    <t>shot=26 Av=f1.8 Tv=1/50 ISO=100 int=3.0s</t>
  </si>
  <si>
    <t>Shot Tv=1/50 ISO=100 Lum=62 mode=brighten shot=26</t>
  </si>
  <si>
    <t>poll=0ms status=156ms monitor=0ms heartbeat=94ms shot=145ms kickoff=453ms</t>
  </si>
  <si>
    <t>2026-05-11 13:41:40</t>
  </si>
  <si>
    <t>Lum:63 in/over 13:41:40</t>
  </si>
  <si>
    <t>shot=27 Av=f1.8 Tv=1/50 ISO=100 int=3.0s</t>
  </si>
  <si>
    <t>Shot Tv=1/50 ISO=100 Lum=63 mode=brighten shot=27</t>
  </si>
  <si>
    <t>poll=4ms status=113ms monitor=12ms heartbeat=105ms shot=129ms kickoff=363ms</t>
  </si>
  <si>
    <t>2026-05-11 13:41:41</t>
  </si>
  <si>
    <t>Integrate Bicycle</t>
  </si>
  <si>
    <t>RearSteps</t>
  </si>
  <si>
    <t>FrontSteps</t>
  </si>
  <si>
    <t>S</t>
  </si>
  <si>
    <t>Speed set to 0 m/hr</t>
  </si>
  <si>
    <t>T</t>
  </si>
  <si>
    <t>Steering centred</t>
  </si>
  <si>
    <t>Speed set to 100 m/hr</t>
  </si>
  <si>
    <t>Steering to 13.77 deg (left, R=2m)</t>
  </si>
  <si>
    <t>X</t>
  </si>
  <si>
    <t>Stop</t>
  </si>
  <si>
    <t>2026-05-14 21:22:16</t>
  </si>
  <si>
    <t>BIKE</t>
  </si>
  <si>
    <t>SimulateCartLog: synthetic log written</t>
  </si>
  <si>
    <t>t_sec</t>
  </si>
  <si>
    <t>x_m</t>
  </si>
  <si>
    <t>y_m</t>
  </si>
  <si>
    <t>theta_deg</t>
  </si>
  <si>
    <t>segment_dist_m</t>
  </si>
  <si>
    <t>steering_deg</t>
  </si>
  <si>
    <t>speed_mhr</t>
  </si>
  <si>
    <t>2026-05-14 21:22:29</t>
  </si>
  <si>
    <t>IntegrateBicycle: 5 segments, end at (6.999, 2.000) m, heading 90.0Â°</t>
  </si>
  <si>
    <t>2026-05-14 21:32:45</t>
  </si>
  <si>
    <t>2026-05-14 21:33:11</t>
  </si>
  <si>
    <t>2026-05-14 21:33:16</t>
  </si>
  <si>
    <t>2026-05-14 21:33:31</t>
  </si>
  <si>
    <t>2026-05-14 21:44:09</t>
  </si>
  <si>
    <t>BTN</t>
  </si>
  <si>
    <t>RunButton IntegrateBicycle failed: Cannot run the macro 'IntegrateBicycle'. The macro may not be available in this workbook or all macros may be disabled.</t>
  </si>
  <si>
    <t>2026-05-14 21:44:21</t>
  </si>
  <si>
    <t>2026-05-14 21:44:30</t>
  </si>
  <si>
    <t>2026-05-14 21:45:04</t>
  </si>
  <si>
    <t>2026-05-14 21:45:08</t>
  </si>
  <si>
    <t>IntegrateBicycle: 36 segments, end at (6.999, 2.000) m, heading 90.0Â°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</si>
</sst>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"/>
    <numFmt numFmtId="165" formatCode="hh:mm"/>
    <numFmt numFmtId="166" formatCode="[$-F800]dddd\,\ mmmm\ dd\,\ yyyy"/>
  </numFmts>
  <fonts count="15" x14ac:knownFonts="1">
    <font>
      <sz val="11"/>
      <color theme="1"/>
      <name val="Calibri"/>
      <family val="2"/>
      <scheme val="minor"/>
    </font>
    <font>
      <b/>
      <sz val="14"/>
      <color rgb="FFFFFFFF"/>
      <name val="Arial"/>
    </font>
    <font>
      <b/>
      <sz val="10"/>
      <color rgb="FFFFFFFF"/>
      <name val="Arial"/>
    </font>
    <font>
      <b/>
      <sz val="10"/>
      <color rgb="FF000000"/>
      <name val="Arial"/>
    </font>
    <font>
      <sz val="10"/>
      <color rgb="FF37474F"/>
      <name val="Arial"/>
    </font>
    <font>
      <b/>
      <sz val="16"/>
      <color rgb="FFFFFFFF"/>
      <name val="Arial"/>
    </font>
    <font>
      <b/>
      <sz val="13"/>
      <color rgb="FF000000"/>
      <name val="Arial"/>
    </font>
    <font>
      <b/>
      <sz val="10"/>
      <color rgb="FF4A148C"/>
      <name val="Arial"/>
    </font>
    <font>
      <u/>
      <sz val="11"/>
      <color theme="10"/>
      <name val="Calibri"/>
      <family val="2"/>
      <scheme val="minor"/>
    </font>
    <font>
      <b/>
      <sz val="10"/>
      <color rgb="FF000000"/>
      <name val="Arial"/>
      <family val="2"/>
    </font>
    <font>
      <b/>
      <sz val="14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rgb="FFFFFFFF"/>
      <name val="Arial"/>
      <family val="2"/>
    </font>
    <font>
      <b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1A1A2E"/>
      </patternFill>
    </fill>
    <fill>
      <patternFill patternType="solid">
        <fgColor rgb="FF0F3460"/>
      </patternFill>
    </fill>
    <fill>
      <patternFill patternType="solid">
        <fgColor rgb="FFFFF2CC"/>
      </patternFill>
    </fill>
    <fill>
      <patternFill patternType="solid">
        <fgColor rgb="FFE65100"/>
      </patternFill>
    </fill>
    <fill>
      <patternFill patternType="solid">
        <fgColor rgb="FFE94560"/>
      </patternFill>
    </fill>
    <fill>
      <patternFill patternType="solid">
        <fgColor rgb="FFE3F2FD"/>
      </patternFill>
    </fill>
    <fill>
      <patternFill patternType="solid">
        <fgColor rgb="FF1B5E20"/>
      </patternFill>
    </fill>
    <fill>
      <patternFill patternType="solid">
        <fgColor rgb="FF37474F"/>
      </patternFill>
    </fill>
    <fill>
      <patternFill patternType="solid">
        <fgColor rgb="FF4A148C"/>
      </patternFill>
    </fill>
    <fill>
      <patternFill patternType="solid">
        <fgColor rgb="FFF3E5F5"/>
      </patternFill>
    </fill>
    <fill>
      <patternFill patternType="solid">
        <fgColor rgb="FF004061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/>
      <top style="thin">
        <color rgb="FFCCCCCC"/>
      </top>
      <bottom/>
      <diagonal/>
    </border>
    <border>
      <left style="thin">
        <color rgb="FFCCCCCC"/>
      </left>
      <right/>
      <top/>
      <bottom/>
      <diagonal/>
    </border>
    <border>
      <left/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/>
      <bottom/>
      <diagonal/>
    </border>
    <border>
      <left style="thin">
        <color rgb="FFCCCCCC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CCCCCC"/>
      </right>
      <top/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48">
    <xf numFmtId="0" fontId="0" fillId="0" borderId="0" xfId="0"/>
    <xf numFmtId="0" fontId="4" fillId="0" borderId="0" xfId="0" applyFont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164" fontId="3" fillId="4" borderId="1" xfId="0" applyNumberFormat="1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 wrapText="1"/>
    </xf>
    <xf numFmtId="164" fontId="0" fillId="0" borderId="0" xfId="0" applyNumberFormat="1"/>
    <xf numFmtId="0" fontId="2" fillId="3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164" fontId="7" fillId="11" borderId="1" xfId="0" applyNumberFormat="1" applyFont="1" applyFill="1" applyBorder="1"/>
    <xf numFmtId="0" fontId="8" fillId="4" borderId="1" xfId="1" applyFill="1" applyBorder="1" applyAlignment="1">
      <alignment horizontal="left" vertical="center"/>
    </xf>
    <xf numFmtId="22" fontId="0" fillId="0" borderId="0" xfId="0" applyNumberFormat="1"/>
    <xf numFmtId="165" fontId="0" fillId="0" borderId="0" xfId="0" applyNumberFormat="1"/>
    <xf numFmtId="21" fontId="6" fillId="7" borderId="1" xfId="0" applyNumberFormat="1" applyFont="1" applyFill="1" applyBorder="1" applyAlignment="1">
      <alignment horizontal="center" vertical="center" wrapText="1"/>
    </xf>
    <xf numFmtId="49" fontId="6" fillId="7" borderId="1" xfId="0" quotePrefix="1" applyNumberFormat="1" applyFont="1" applyFill="1" applyBorder="1" applyAlignment="1">
      <alignment horizontal="center" vertical="center" wrapText="1"/>
    </xf>
    <xf numFmtId="49" fontId="3" fillId="4" borderId="1" xfId="0" applyNumberFormat="1" applyFont="1" applyFill="1" applyBorder="1" applyAlignment="1">
      <alignment horizontal="left" vertical="center"/>
    </xf>
    <xf numFmtId="49" fontId="9" fillId="4" borderId="1" xfId="0" quotePrefix="1" applyNumberFormat="1" applyFont="1" applyFill="1" applyBorder="1" applyAlignment="1">
      <alignment horizontal="left" vertical="center"/>
    </xf>
    <xf numFmtId="0" fontId="10" fillId="0" borderId="0" xfId="0" applyFont="1"/>
    <xf numFmtId="0" fontId="11" fillId="12" borderId="9" xfId="0" applyFont="1" applyFill="1" applyBorder="1" applyAlignment="1">
      <alignment horizontal="center" vertical="center"/>
    </xf>
    <xf numFmtId="0" fontId="11" fillId="12" borderId="10" xfId="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1" fillId="12" borderId="11" xfId="0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0" fillId="0" borderId="0" xfId="0" applyNumberFormat="1"/>
    <xf numFmtId="0" fontId="9" fillId="4" borderId="0" xfId="0" applyFont="1" applyFill="1" applyAlignment="1">
      <alignment horizontal="left" vertical="center"/>
    </xf>
    <xf numFmtId="166" fontId="0" fillId="0" borderId="0" xfId="0" applyNumberFormat="1"/>
    <xf numFmtId="22" fontId="0" fillId="13" borderId="9" xfId="0" applyNumberFormat="1" applyFill="1" applyBorder="1"/>
    <xf numFmtId="0" fontId="13" fillId="6" borderId="0" xfId="0" applyFont="1" applyFill="1" applyAlignment="1">
      <alignment horizontal="center" vertical="center" wrapText="1"/>
    </xf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" fillId="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0" fillId="4" borderId="1" xfId="0" applyFill="1" applyBorder="1" applyAlignment="1">
      <alignment vertical="top" wrapText="1"/>
    </xf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8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9" borderId="0" xfId="0" applyFont="1" applyFill="1" applyAlignment="1">
      <alignment horizontal="center" vertical="center" wrapText="1"/>
    </xf>
    <xf numFmtId="0" fontId="14" fillId="0" borderId="0" xfId="0" applyFont="1"/>
    <xf numFmtId="49" fontId="14" fillId="0" borderId="0" xfId="0" applyNumberFormat="1" applyFont="1"/>
    <xf numFmtId="2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Cart trace (rear axle, 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Trace</c:v>
          </c:tx>
          <c:marker>
            <c:symbol val="circle"/>
            <c:size val="4"/>
          </c:marker>
          <c:xVal>
            <c:numRef>
              <c:f>Trace!$B$2:$B$37</c:f>
              <c:numCache>
                <c:formatCode>0.00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5.0000004200000001</c:v>
                </c:pt>
                <c:pt idx="4">
                  <c:v>5.0981357081259047</c:v>
                </c:pt>
                <c:pt idx="5" formatCode="General">
                  <c:v>5.1960344478529183</c:v>
                </c:pt>
                <c:pt idx="6" formatCode="General">
                  <c:v>5.2934606609658852</c:v>
                </c:pt>
                <c:pt idx="7" formatCode="General">
                  <c:v>5.3901795082427268</c:v>
                </c:pt>
                <c:pt idx="8" formatCode="General">
                  <c:v>5.4859578555183255</c:v>
                </c:pt>
                <c:pt idx="9" formatCode="General">
                  <c:v>5.5805648356384783</c:v>
                </c:pt>
                <c:pt idx="10" formatCode="General">
                  <c:v>5.6737724049493821</c:v>
                </c:pt>
                <c:pt idx="11" formatCode="General">
                  <c:v>5.7653558929812592</c:v>
                </c:pt>
                <c:pt idx="12" formatCode="General">
                  <c:v>5.8550945440011573</c:v>
                </c:pt>
                <c:pt idx="13" formatCode="General">
                  <c:v>5.9427720491295402</c:v>
                </c:pt>
                <c:pt idx="14" formatCode="General">
                  <c:v>6.0281770677380493</c:v>
                </c:pt>
                <c:pt idx="15" formatCode="General">
                  <c:v>6.111103736871625</c:v>
                </c:pt>
                <c:pt idx="16" formatCode="General">
                  <c:v>6.1913521674670831</c:v>
                </c:pt>
                <c:pt idx="17" formatCode="General">
                  <c:v>6.2687289261720247</c:v>
                </c:pt>
                <c:pt idx="18" formatCode="General">
                  <c:v>6.3430475016027001</c:v>
                </c:pt>
                <c:pt idx="19" formatCode="General">
                  <c:v>6.4141287539169412</c:v>
                </c:pt>
                <c:pt idx="20" formatCode="General">
                  <c:v>6.4818013466184974</c:v>
                </c:pt>
                <c:pt idx="21" formatCode="General">
                  <c:v>6.5459021595519378</c:v>
                </c:pt>
                <c:pt idx="22" formatCode="General">
                  <c:v>6.6062766820926289</c:v>
                </c:pt>
                <c:pt idx="23" formatCode="General">
                  <c:v>6.6627793855840229</c:v>
                </c:pt>
                <c:pt idx="24" formatCode="General">
                  <c:v>6.7152740741245323</c:v>
                </c:pt>
                <c:pt idx="25" formatCode="General">
                  <c:v>6.7636342128584328</c:v>
                </c:pt>
                <c:pt idx="26" formatCode="General">
                  <c:v>6.807743232979476</c:v>
                </c:pt>
                <c:pt idx="27" formatCode="General">
                  <c:v>6.8474948127120241</c:v>
                </c:pt>
                <c:pt idx="28" formatCode="General">
                  <c:v>6.8827931335924175</c:v>
                </c:pt>
                <c:pt idx="29" formatCode="General">
                  <c:v>6.9135531114328241</c:v>
                </c:pt>
                <c:pt idx="30" formatCode="General">
                  <c:v>6.9397006014108555</c:v>
                </c:pt>
                <c:pt idx="31" formatCode="General">
                  <c:v>6.9611725767905916</c:v>
                </c:pt>
                <c:pt idx="32" formatCode="General">
                  <c:v>6.9779172808442107</c:v>
                </c:pt>
                <c:pt idx="33" formatCode="General">
                  <c:v>6.9898943516080463</c:v>
                </c:pt>
                <c:pt idx="34" formatCode="General">
                  <c:v>6.9970749191723378</c:v>
                </c:pt>
                <c:pt idx="35" formatCode="General">
                  <c:v>6.9994416752701714</c:v>
                </c:pt>
              </c:numCache>
            </c:numRef>
          </c:xVal>
          <c:yVal>
            <c:numRef>
              <c:f>Trace!$C$2:$C$37</c:f>
              <c:numCache>
                <c:formatCode>0.00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2.4097584164157098E-3</c:v>
                </c:pt>
                <c:pt idx="5" formatCode="General">
                  <c:v>9.6332251078447336E-3</c:v>
                </c:pt>
                <c:pt idx="6" formatCode="General">
                  <c:v>2.1652988401962385E-2</c:v>
                </c:pt>
                <c:pt idx="7" formatCode="General">
                  <c:v>3.8440075481583812E-2</c:v>
                </c:pt>
                <c:pt idx="8" formatCode="General">
                  <c:v>5.9954022221657306E-2</c:v>
                </c:pt>
                <c:pt idx="9" formatCode="General">
                  <c:v>8.6142970725269566E-2</c:v>
                </c:pt>
                <c:pt idx="10" formatCode="General">
                  <c:v>0.11694379432355891</c:v>
                </c:pt>
                <c:pt idx="11" formatCode="General">
                  <c:v>0.15228224973823254</c:v>
                </c:pt>
                <c:pt idx="12" formatCode="General">
                  <c:v>0.19207315603990957</c:v>
                </c:pt>
                <c:pt idx="13" formatCode="General">
                  <c:v>0.23622059997092504</c:v>
                </c:pt>
                <c:pt idx="14" formatCode="General">
                  <c:v>0.28461816713767568</c:v>
                </c:pt>
                <c:pt idx="15" formatCode="General">
                  <c:v>0.33714919851523623</c:v>
                </c:pt>
                <c:pt idx="16" formatCode="General">
                  <c:v>0.39368707164595951</c:v>
                </c:pt>
                <c:pt idx="17" formatCode="General">
                  <c:v>0.45409550585424824</c:v>
                </c:pt>
                <c:pt idx="18" formatCode="General">
                  <c:v>0.51822889074180034</c:v>
                </c:pt>
                <c:pt idx="19" formatCode="General">
                  <c:v>0.58593263717151434</c:v>
                </c:pt>
                <c:pt idx="20" formatCode="General">
                  <c:v>0.65704354989402913</c:v>
                </c:pt>
                <c:pt idx="21" formatCode="General">
                  <c:v>0.73139022091870853</c:v>
                </c:pt>
                <c:pt idx="22" formatCode="General">
                  <c:v>0.80879344268087727</c:v>
                </c:pt>
                <c:pt idx="23" formatCode="General">
                  <c:v>0.88906664000939695</c:v>
                </c:pt>
                <c:pt idx="24" formatCode="General">
                  <c:v>0.97201631985335246</c:v>
                </c:pt>
                <c:pt idx="25" formatCode="General">
                  <c:v>1.0574425376838157</c:v>
                </c:pt>
                <c:pt idx="26" formatCode="General">
                  <c:v>1.1451393794464542</c:v>
                </c:pt>
                <c:pt idx="27" formatCode="General">
                  <c:v>1.2348954579032734</c:v>
                </c:pt>
                <c:pt idx="28" formatCode="General">
                  <c:v>1.3264944221670938</c:v>
                </c:pt>
                <c:pt idx="29" formatCode="General">
                  <c:v>1.4197154792005644</c:v>
                </c:pt>
                <c:pt idx="30" formatCode="General">
                  <c:v>1.5143339260226749</c:v>
                </c:pt>
                <c:pt idx="31" formatCode="General">
                  <c:v>1.6101216913399214</c:v>
                </c:pt>
                <c:pt idx="32" formatCode="General">
                  <c:v>1.7068478852965563</c:v>
                </c:pt>
                <c:pt idx="33" formatCode="General">
                  <c:v>1.8042793560187922</c:v>
                </c:pt>
                <c:pt idx="34" formatCode="General">
                  <c:v>1.902181251611444</c:v>
                </c:pt>
                <c:pt idx="35" formatCode="General">
                  <c:v>2.0003175862523568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4-4199-9FE3-B376F071B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1162351"/>
        <c:axId val="901179151"/>
      </c:scatterChart>
      <c:valAx>
        <c:axId val="9011623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x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901179151"/>
        <c:crosses val="autoZero"/>
        <c:crossBetween val="midCat"/>
      </c:valAx>
      <c:valAx>
        <c:axId val="90117915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901162351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14</xdr:col>
      <xdr:colOff>215900</xdr:colOff>
      <xdr:row>25</xdr:row>
      <xdr:rowOff>152400</xdr:rowOff>
    </xdr:to>
    <xdr:graphicFrame macro="">
      <xdr:nvGraphicFramePr>
        <xdr:cNvPr id="6" name="TraceChart">
          <a:extLst>
            <a:ext uri="{FF2B5EF4-FFF2-40B4-BE49-F238E27FC236}">
              <a16:creationId xmlns:a16="http://schemas.microsoft.com/office/drawing/2014/main" id="{F8423DFB-9330-1A89-8ADB-7C7A3DCABE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192.168.1.97/" TargetMode="External"/><Relationship Id="rId1" Type="http://schemas.openxmlformats.org/officeDocument/2006/relationships/hyperlink" Target="http://192.168.1.99:8080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F93FC-6EEB-4633-8810-F26A933B0914}">
  <sheetPr codeName="Sheet8"/>
  <dimension ref="C1:C13"/>
  <sheetViews>
    <sheetView workbookViewId="0">
      <selection activeCell="C9" sqref="C9"/>
    </sheetView>
  </sheetViews>
  <sheetFormatPr defaultRowHeight="14.5" x14ac:dyDescent="0.35"/>
  <cols>
    <col min="3" max="3" width="28.6328125" customWidth="1"/>
  </cols>
  <sheetData>
    <row r="1" spans="3:3" ht="18.5" x14ac:dyDescent="0.45">
      <c r="C1" s="16" t="s">
        <v>96</v>
      </c>
    </row>
    <row r="3" spans="3:3" ht="24" customHeight="1" x14ac:dyDescent="0.35">
      <c r="C3" s="18" t="s">
        <v>97</v>
      </c>
    </row>
    <row r="4" spans="3:3" ht="24" customHeight="1" x14ac:dyDescent="0.35">
      <c r="C4" s="18" t="s">
        <v>98</v>
      </c>
    </row>
    <row r="5" spans="3:3" ht="24" customHeight="1" x14ac:dyDescent="0.35">
      <c r="C5" s="18" t="s">
        <v>99</v>
      </c>
    </row>
    <row r="6" spans="3:3" ht="24" customHeight="1" x14ac:dyDescent="0.35">
      <c r="C6" s="18" t="s">
        <v>100</v>
      </c>
    </row>
    <row r="7" spans="3:3" ht="24" customHeight="1" x14ac:dyDescent="0.35">
      <c r="C7" s="18" t="s">
        <v>101</v>
      </c>
    </row>
    <row r="8" spans="3:3" ht="24" customHeight="1" x14ac:dyDescent="0.35">
      <c r="C8" s="18" t="s">
        <v>102</v>
      </c>
    </row>
    <row r="9" spans="3:3" ht="24" customHeight="1" x14ac:dyDescent="0.35">
      <c r="C9" s="17" t="s">
        <v>308</v>
      </c>
    </row>
    <row r="10" spans="3:3" ht="24" customHeight="1" x14ac:dyDescent="0.35">
      <c r="C10" s="20" t="s">
        <v>103</v>
      </c>
    </row>
    <row r="11" spans="3:3" ht="24" customHeight="1" x14ac:dyDescent="0.35">
      <c r="C11" s="17" t="s">
        <v>104</v>
      </c>
    </row>
    <row r="12" spans="3:3" x14ac:dyDescent="0.35">
      <c r="C12" s="19" t="s">
        <v>105</v>
      </c>
    </row>
    <row r="13" spans="3:3" x14ac:dyDescent="0.35">
      <c r="C13" s="19" t="s">
        <v>105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A1A2E"/>
  </sheetPr>
  <dimension ref="A1:K42"/>
  <sheetViews>
    <sheetView showGridLines="0" topLeftCell="A2" workbookViewId="0">
      <selection activeCell="E31" sqref="E30:E31"/>
    </sheetView>
  </sheetViews>
  <sheetFormatPr defaultRowHeight="14.5" x14ac:dyDescent="0.35"/>
  <cols>
    <col min="1" max="1" width="2" customWidth="1"/>
    <col min="2" max="3" width="28" customWidth="1"/>
    <col min="4" max="4" width="4" customWidth="1"/>
    <col min="5" max="6" width="28" customWidth="1"/>
    <col min="7" max="7" width="15.54296875" bestFit="1" customWidth="1"/>
  </cols>
  <sheetData>
    <row r="1" spans="1:11" ht="32" customHeight="1" x14ac:dyDescent="0.35">
      <c r="A1" s="28" t="s">
        <v>0</v>
      </c>
      <c r="B1" s="27"/>
      <c r="C1" s="27"/>
      <c r="D1" s="27"/>
      <c r="E1" s="27"/>
      <c r="F1" s="27"/>
    </row>
    <row r="3" spans="1:11" x14ac:dyDescent="0.35">
      <c r="B3" s="31" t="s">
        <v>1</v>
      </c>
      <c r="C3" s="27"/>
    </row>
    <row r="4" spans="1:11" x14ac:dyDescent="0.35">
      <c r="B4" s="1" t="s">
        <v>2</v>
      </c>
      <c r="C4" s="9" t="s">
        <v>82</v>
      </c>
    </row>
    <row r="5" spans="1:11" x14ac:dyDescent="0.35">
      <c r="B5" s="1" t="s">
        <v>3</v>
      </c>
      <c r="C5" s="9" t="s">
        <v>83</v>
      </c>
    </row>
    <row r="6" spans="1:11" x14ac:dyDescent="0.35">
      <c r="E6" s="32" t="s">
        <v>4</v>
      </c>
      <c r="F6" s="27"/>
      <c r="J6" t="s">
        <v>4</v>
      </c>
    </row>
    <row r="7" spans="1:11" x14ac:dyDescent="0.35">
      <c r="B7" s="31" t="s">
        <v>5</v>
      </c>
      <c r="C7" s="27"/>
      <c r="E7" s="1" t="s">
        <v>6</v>
      </c>
      <c r="F7" s="25">
        <v>46153.666666666664</v>
      </c>
      <c r="J7" t="s">
        <v>6</v>
      </c>
      <c r="K7">
        <v>46153.666666666664</v>
      </c>
    </row>
    <row r="8" spans="1:11" x14ac:dyDescent="0.35">
      <c r="B8" s="1" t="s">
        <v>7</v>
      </c>
      <c r="C8" s="2">
        <v>-34.9285</v>
      </c>
      <c r="E8" s="1" t="s">
        <v>8</v>
      </c>
      <c r="F8" s="25">
        <v>46153.726203703707</v>
      </c>
      <c r="G8" s="10">
        <f ca="1">NOW()+TIME(0,0,30)</f>
        <v>46156.906696874998</v>
      </c>
      <c r="J8" t="s">
        <v>8</v>
      </c>
      <c r="K8">
        <v>46153.726203703707</v>
      </c>
    </row>
    <row r="9" spans="1:11" x14ac:dyDescent="0.35">
      <c r="B9" s="1" t="s">
        <v>9</v>
      </c>
      <c r="C9" s="2">
        <v>138.60069999999999</v>
      </c>
      <c r="E9" s="1" t="s">
        <v>10</v>
      </c>
      <c r="F9" s="25">
        <f>dataSunriseTime</f>
        <v>46153.290451388886</v>
      </c>
      <c r="J9" t="s">
        <v>10</v>
      </c>
      <c r="K9">
        <v>46153.290451388886</v>
      </c>
    </row>
    <row r="10" spans="1:11" x14ac:dyDescent="0.35">
      <c r="B10" s="1" t="s">
        <v>11</v>
      </c>
      <c r="C10" s="2">
        <v>9.5</v>
      </c>
      <c r="E10" s="1" t="s">
        <v>12</v>
      </c>
      <c r="F10" s="25">
        <v>46153.694953703707</v>
      </c>
      <c r="G10" s="10">
        <f ca="1">NOW()+TIME(0,H10,0)</f>
        <v>46156.907044097221</v>
      </c>
      <c r="H10">
        <v>1</v>
      </c>
      <c r="J10" t="s">
        <v>12</v>
      </c>
      <c r="K10">
        <v>46153.694953703707</v>
      </c>
    </row>
    <row r="11" spans="1:11" x14ac:dyDescent="0.35">
      <c r="B11" s="1" t="s">
        <v>13</v>
      </c>
      <c r="C11" s="2">
        <v>270</v>
      </c>
      <c r="E11" s="1" t="s">
        <v>14</v>
      </c>
      <c r="F11" s="25">
        <v>46153.74009259259</v>
      </c>
      <c r="G11" s="10">
        <f t="shared" ref="G11:G15" ca="1" si="0">NOW()+TIME(0,H11,0)</f>
        <v>46156.90773854166</v>
      </c>
      <c r="H11">
        <v>2</v>
      </c>
      <c r="J11" t="s">
        <v>14</v>
      </c>
      <c r="K11">
        <v>46153.74009259259</v>
      </c>
    </row>
    <row r="12" spans="1:11" x14ac:dyDescent="0.35">
      <c r="E12" s="1" t="s">
        <v>15</v>
      </c>
      <c r="F12" s="25">
        <v>46153.767870370371</v>
      </c>
      <c r="G12" s="10">
        <f t="shared" ca="1" si="0"/>
        <v>46156.908432986107</v>
      </c>
      <c r="H12">
        <v>3</v>
      </c>
      <c r="J12" t="s">
        <v>15</v>
      </c>
      <c r="K12">
        <v>46153.767870370371</v>
      </c>
    </row>
    <row r="13" spans="1:11" x14ac:dyDescent="0.35">
      <c r="B13" s="31" t="s">
        <v>16</v>
      </c>
      <c r="C13" s="27"/>
      <c r="E13" s="1" t="s">
        <v>17</v>
      </c>
      <c r="F13" s="25">
        <v>46153.227951388886</v>
      </c>
      <c r="G13" s="10">
        <f t="shared" ca="1" si="0"/>
        <v>46156.909127430554</v>
      </c>
      <c r="H13">
        <v>4</v>
      </c>
      <c r="J13" t="s">
        <v>17</v>
      </c>
      <c r="K13">
        <v>46153.227951388886</v>
      </c>
    </row>
    <row r="14" spans="1:11" x14ac:dyDescent="0.35">
      <c r="B14" s="1" t="s">
        <v>18</v>
      </c>
      <c r="C14" s="3" t="s">
        <v>19</v>
      </c>
      <c r="E14" s="1" t="s">
        <v>20</v>
      </c>
      <c r="F14" s="25">
        <v>46153.259201388886</v>
      </c>
      <c r="G14" s="10">
        <f t="shared" ca="1" si="0"/>
        <v>46156.909821874993</v>
      </c>
      <c r="H14">
        <v>5</v>
      </c>
      <c r="J14" t="s">
        <v>20</v>
      </c>
      <c r="K14">
        <v>46153.259201388886</v>
      </c>
    </row>
    <row r="15" spans="1:11" x14ac:dyDescent="0.35">
      <c r="E15" s="1" t="s">
        <v>21</v>
      </c>
      <c r="F15" s="25">
        <v>46153.290451388886</v>
      </c>
      <c r="G15" s="10">
        <f t="shared" ca="1" si="0"/>
        <v>46156.91051631944</v>
      </c>
      <c r="H15">
        <v>6</v>
      </c>
      <c r="J15" t="s">
        <v>21</v>
      </c>
      <c r="K15">
        <v>46153.290451388886</v>
      </c>
    </row>
    <row r="16" spans="1:11" x14ac:dyDescent="0.35">
      <c r="B16" s="29" t="s">
        <v>22</v>
      </c>
      <c r="C16" s="27"/>
      <c r="F16" s="24"/>
    </row>
    <row r="17" spans="2:11" x14ac:dyDescent="0.35">
      <c r="B17" s="1" t="s">
        <v>23</v>
      </c>
      <c r="C17" s="2" t="s">
        <v>24</v>
      </c>
      <c r="E17" s="30" t="s">
        <v>25</v>
      </c>
      <c r="F17" s="27"/>
      <c r="J17" t="s">
        <v>25</v>
      </c>
    </row>
    <row r="18" spans="2:11" x14ac:dyDescent="0.35">
      <c r="B18" s="1" t="s">
        <v>26</v>
      </c>
      <c r="C18" s="14" t="s">
        <v>27</v>
      </c>
      <c r="E18" s="1" t="s">
        <v>28</v>
      </c>
      <c r="F18" s="8">
        <v>46153.290451388886</v>
      </c>
      <c r="J18" t="s">
        <v>28</v>
      </c>
      <c r="K18">
        <v>46153.290451388886</v>
      </c>
    </row>
    <row r="19" spans="2:11" x14ac:dyDescent="0.35">
      <c r="B19" s="1" t="s">
        <v>29</v>
      </c>
      <c r="C19" s="15" t="s">
        <v>158</v>
      </c>
      <c r="E19" s="1" t="s">
        <v>30</v>
      </c>
      <c r="F19" s="8">
        <v>46153.272835648146</v>
      </c>
      <c r="J19" t="s">
        <v>30</v>
      </c>
      <c r="K19">
        <v>46153.272835648146</v>
      </c>
    </row>
    <row r="20" spans="2:11" x14ac:dyDescent="0.35">
      <c r="B20" s="1" t="s">
        <v>31</v>
      </c>
      <c r="C20" s="2">
        <v>100</v>
      </c>
      <c r="E20" s="1" t="s">
        <v>32</v>
      </c>
      <c r="F20" s="8">
        <v>46153.743807870371</v>
      </c>
      <c r="J20" t="s">
        <v>32</v>
      </c>
      <c r="K20">
        <v>46153.743807870371</v>
      </c>
    </row>
    <row r="21" spans="2:11" x14ac:dyDescent="0.35">
      <c r="B21" s="1" t="s">
        <v>33</v>
      </c>
      <c r="C21" s="2">
        <v>64</v>
      </c>
      <c r="E21" s="1" t="s">
        <v>34</v>
      </c>
      <c r="F21" s="8">
        <v>46153.764918981484</v>
      </c>
      <c r="J21" t="s">
        <v>34</v>
      </c>
      <c r="K21">
        <v>46153.764918981484</v>
      </c>
    </row>
    <row r="22" spans="2:11" x14ac:dyDescent="0.35">
      <c r="B22" s="1" t="s">
        <v>35</v>
      </c>
      <c r="C22" s="2">
        <v>27</v>
      </c>
      <c r="E22" s="1" t="s">
        <v>36</v>
      </c>
      <c r="F22" s="8">
        <v>46153.785671296297</v>
      </c>
      <c r="J22" t="s">
        <v>36</v>
      </c>
      <c r="K22">
        <v>46153.785671296297</v>
      </c>
    </row>
    <row r="23" spans="2:11" x14ac:dyDescent="0.35">
      <c r="B23" s="1" t="s">
        <v>37</v>
      </c>
      <c r="C23" s="2" t="s">
        <v>303</v>
      </c>
      <c r="J23" t="s">
        <v>119</v>
      </c>
      <c r="K23">
        <v>100</v>
      </c>
    </row>
    <row r="24" spans="2:11" x14ac:dyDescent="0.35">
      <c r="B24" s="1" t="s">
        <v>39</v>
      </c>
      <c r="C24" s="2" t="s">
        <v>40</v>
      </c>
    </row>
    <row r="26" spans="2:11" x14ac:dyDescent="0.35">
      <c r="B26" s="29" t="s">
        <v>41</v>
      </c>
      <c r="C26" s="27"/>
    </row>
    <row r="27" spans="2:11" x14ac:dyDescent="0.35">
      <c r="B27" s="1" t="s">
        <v>42</v>
      </c>
      <c r="C27" s="2">
        <v>-16.100000000000001</v>
      </c>
    </row>
    <row r="28" spans="2:11" x14ac:dyDescent="0.35">
      <c r="B28" s="1" t="s">
        <v>43</v>
      </c>
      <c r="C28" s="2">
        <v>0</v>
      </c>
    </row>
    <row r="29" spans="2:11" x14ac:dyDescent="0.35">
      <c r="B29" s="1" t="s">
        <v>44</v>
      </c>
      <c r="C29" s="2">
        <v>-26.2</v>
      </c>
    </row>
    <row r="30" spans="2:11" x14ac:dyDescent="0.35">
      <c r="B30" s="1" t="s">
        <v>45</v>
      </c>
      <c r="C30" s="2">
        <v>158.90255631606044</v>
      </c>
    </row>
    <row r="31" spans="2:11" x14ac:dyDescent="0.35">
      <c r="B31" s="1" t="s">
        <v>46</v>
      </c>
      <c r="C31" s="2">
        <v>-1.0652762088722756</v>
      </c>
    </row>
    <row r="32" spans="2:11" x14ac:dyDescent="0.35">
      <c r="B32" s="1" t="s">
        <v>47</v>
      </c>
      <c r="C32" s="2">
        <v>0</v>
      </c>
    </row>
    <row r="34" spans="2:5" x14ac:dyDescent="0.35">
      <c r="B34" s="29" t="s">
        <v>48</v>
      </c>
      <c r="C34" s="27"/>
    </row>
    <row r="35" spans="2:5" x14ac:dyDescent="0.35">
      <c r="B35" s="1" t="s">
        <v>49</v>
      </c>
      <c r="C35" s="2">
        <v>0</v>
      </c>
    </row>
    <row r="36" spans="2:5" x14ac:dyDescent="0.35">
      <c r="B36" s="1" t="s">
        <v>50</v>
      </c>
      <c r="C36" s="2">
        <v>23.4</v>
      </c>
    </row>
    <row r="37" spans="2:5" x14ac:dyDescent="0.35">
      <c r="B37" s="1" t="s">
        <v>51</v>
      </c>
      <c r="C37" s="2">
        <v>1</v>
      </c>
    </row>
    <row r="38" spans="2:5" x14ac:dyDescent="0.35">
      <c r="B38" s="1" t="s">
        <v>52</v>
      </c>
      <c r="C38" s="2">
        <v>0.95</v>
      </c>
    </row>
    <row r="40" spans="2:5" x14ac:dyDescent="0.35">
      <c r="B40" s="26" t="s">
        <v>111</v>
      </c>
      <c r="C40" s="27"/>
    </row>
    <row r="41" spans="2:5" x14ac:dyDescent="0.35">
      <c r="C41" s="23">
        <v>60</v>
      </c>
      <c r="E41" t="s">
        <v>109</v>
      </c>
    </row>
    <row r="42" spans="2:5" x14ac:dyDescent="0.35">
      <c r="C42" s="23">
        <v>40</v>
      </c>
      <c r="E42" t="s">
        <v>110</v>
      </c>
    </row>
  </sheetData>
  <mergeCells count="10">
    <mergeCell ref="B40:C40"/>
    <mergeCell ref="A1:F1"/>
    <mergeCell ref="B34:C34"/>
    <mergeCell ref="B26:C26"/>
    <mergeCell ref="E17:F17"/>
    <mergeCell ref="B13:C13"/>
    <mergeCell ref="B16:C16"/>
    <mergeCell ref="E6:F6"/>
    <mergeCell ref="B7:C7"/>
    <mergeCell ref="B3:C3"/>
  </mergeCells>
  <hyperlinks>
    <hyperlink ref="C4" r:id="rId1" xr:uid="{CA12EC11-7D06-4EE5-822C-6797BA2AD2E9}"/>
    <hyperlink ref="C5" r:id="rId2" xr:uid="{43EEA243-DA00-4B57-9F43-6625D4CF3ADA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E94560"/>
  </sheetPr>
  <dimension ref="A1:F24"/>
  <sheetViews>
    <sheetView showGridLines="0" workbookViewId="0">
      <selection activeCell="H8" sqref="H8"/>
    </sheetView>
  </sheetViews>
  <sheetFormatPr defaultRowHeight="14.5" x14ac:dyDescent="0.35"/>
  <cols>
    <col min="1" max="1" width="2" customWidth="1"/>
    <col min="2" max="3" width="22" customWidth="1"/>
    <col min="4" max="4" width="4" customWidth="1"/>
    <col min="5" max="6" width="22" customWidth="1"/>
  </cols>
  <sheetData>
    <row r="1" spans="1:6" ht="36" customHeight="1" x14ac:dyDescent="0.35">
      <c r="A1" s="33" t="s">
        <v>53</v>
      </c>
      <c r="B1" s="27"/>
      <c r="C1" s="27"/>
      <c r="D1" s="27"/>
      <c r="E1" s="27"/>
      <c r="F1" s="27"/>
    </row>
    <row r="3" spans="1:6" ht="22" customHeight="1" x14ac:dyDescent="0.35">
      <c r="B3" s="43" t="s">
        <v>54</v>
      </c>
      <c r="C3" s="27"/>
      <c r="D3" s="27"/>
      <c r="E3" s="27"/>
    </row>
    <row r="4" spans="1:6" ht="33" x14ac:dyDescent="0.35">
      <c r="B4" s="1" t="s">
        <v>55</v>
      </c>
      <c r="C4" s="12">
        <v>0.5706134259259259</v>
      </c>
      <c r="E4" s="1" t="s">
        <v>56</v>
      </c>
      <c r="F4" s="4" t="s">
        <v>106</v>
      </c>
    </row>
    <row r="5" spans="1:6" ht="16.5" x14ac:dyDescent="0.35">
      <c r="B5" s="1" t="s">
        <v>39</v>
      </c>
      <c r="C5" s="4" t="s">
        <v>38</v>
      </c>
    </row>
    <row r="7" spans="1:6" x14ac:dyDescent="0.35">
      <c r="B7" s="29" t="s">
        <v>57</v>
      </c>
      <c r="C7" s="27"/>
      <c r="D7" s="27"/>
      <c r="E7" s="27"/>
    </row>
    <row r="8" spans="1:6" ht="16.5" x14ac:dyDescent="0.35">
      <c r="B8" s="1" t="s">
        <v>58</v>
      </c>
      <c r="C8" s="13" t="s">
        <v>158</v>
      </c>
      <c r="E8" s="1" t="s">
        <v>31</v>
      </c>
      <c r="F8" s="4">
        <v>100</v>
      </c>
    </row>
    <row r="9" spans="1:6" ht="16.5" x14ac:dyDescent="0.35">
      <c r="B9" s="1" t="s">
        <v>26</v>
      </c>
      <c r="C9" s="4" t="s">
        <v>27</v>
      </c>
      <c r="E9" s="1" t="s">
        <v>59</v>
      </c>
      <c r="F9" s="4" t="s">
        <v>95</v>
      </c>
    </row>
    <row r="10" spans="1:6" ht="16.5" x14ac:dyDescent="0.35">
      <c r="B10" s="1" t="s">
        <v>60</v>
      </c>
      <c r="C10" s="4">
        <v>64</v>
      </c>
      <c r="E10" s="1" t="s">
        <v>61</v>
      </c>
      <c r="F10" s="4">
        <v>27</v>
      </c>
    </row>
    <row r="12" spans="1:6" x14ac:dyDescent="0.35">
      <c r="B12" s="31" t="s">
        <v>62</v>
      </c>
      <c r="C12" s="27"/>
      <c r="D12" s="27"/>
      <c r="E12" s="27"/>
    </row>
    <row r="13" spans="1:6" ht="16.5" x14ac:dyDescent="0.35">
      <c r="B13" s="1" t="s">
        <v>63</v>
      </c>
      <c r="C13" s="4">
        <v>-16.100000000000001</v>
      </c>
      <c r="E13" s="1" t="s">
        <v>64</v>
      </c>
      <c r="F13" s="4">
        <v>-26.2</v>
      </c>
    </row>
    <row r="15" spans="1:6" x14ac:dyDescent="0.35">
      <c r="B15" s="42" t="s">
        <v>65</v>
      </c>
      <c r="C15" s="27"/>
      <c r="D15" s="27"/>
      <c r="E15" s="27"/>
    </row>
    <row r="16" spans="1:6" ht="16.5" x14ac:dyDescent="0.35">
      <c r="B16" s="1" t="s">
        <v>51</v>
      </c>
      <c r="C16" s="4">
        <v>1</v>
      </c>
      <c r="E16" s="1" t="s">
        <v>66</v>
      </c>
      <c r="F16" s="4">
        <v>0</v>
      </c>
    </row>
    <row r="17" spans="2:6" ht="16.5" x14ac:dyDescent="0.35">
      <c r="B17" s="1" t="s">
        <v>50</v>
      </c>
      <c r="C17" s="4">
        <v>23.4</v>
      </c>
    </row>
    <row r="19" spans="2:6" x14ac:dyDescent="0.35">
      <c r="B19" s="44" t="s">
        <v>67</v>
      </c>
      <c r="C19" s="27"/>
      <c r="D19" s="27"/>
      <c r="E19" s="27"/>
    </row>
    <row r="20" spans="2:6" x14ac:dyDescent="0.35">
      <c r="B20" s="34"/>
      <c r="C20" s="35"/>
      <c r="D20" s="35"/>
      <c r="E20" s="35"/>
      <c r="F20" s="36"/>
    </row>
    <row r="21" spans="2:6" x14ac:dyDescent="0.35">
      <c r="B21" s="37"/>
      <c r="C21" s="27"/>
      <c r="D21" s="27"/>
      <c r="E21" s="27"/>
      <c r="F21" s="38"/>
    </row>
    <row r="22" spans="2:6" x14ac:dyDescent="0.35">
      <c r="B22" s="37"/>
      <c r="C22" s="27"/>
      <c r="D22" s="27"/>
      <c r="E22" s="27"/>
      <c r="F22" s="38"/>
    </row>
    <row r="23" spans="2:6" x14ac:dyDescent="0.35">
      <c r="B23" s="37"/>
      <c r="C23" s="27"/>
      <c r="D23" s="27"/>
      <c r="E23" s="27"/>
      <c r="F23" s="38"/>
    </row>
    <row r="24" spans="2:6" x14ac:dyDescent="0.35">
      <c r="B24" s="39"/>
      <c r="C24" s="40"/>
      <c r="D24" s="40"/>
      <c r="E24" s="40"/>
      <c r="F24" s="41"/>
    </row>
  </sheetData>
  <mergeCells count="7">
    <mergeCell ref="B12:E12"/>
    <mergeCell ref="A1:F1"/>
    <mergeCell ref="B20:F24"/>
    <mergeCell ref="B15:E15"/>
    <mergeCell ref="B7:E7"/>
    <mergeCell ref="B3:E3"/>
    <mergeCell ref="B19:E19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F3460"/>
  </sheetPr>
  <dimension ref="A1:G1"/>
  <sheetViews>
    <sheetView showGridLines="0" workbookViewId="0">
      <pane ySplit="1" topLeftCell="A5" activePane="bottomLeft" state="frozen"/>
      <selection pane="bottomLeft"/>
    </sheetView>
  </sheetViews>
  <sheetFormatPr defaultRowHeight="14.5" x14ac:dyDescent="0.35"/>
  <cols>
    <col min="1" max="1" width="14" style="5" customWidth="1"/>
    <col min="2" max="2" width="10" customWidth="1"/>
    <col min="3" max="3" width="12" customWidth="1"/>
    <col min="4" max="4" width="28" customWidth="1"/>
    <col min="5" max="6" width="12" customWidth="1"/>
    <col min="7" max="7" width="14" customWidth="1"/>
  </cols>
  <sheetData>
    <row r="1" spans="1:7" ht="20" customHeight="1" x14ac:dyDescent="0.35">
      <c r="A1" s="6" t="s">
        <v>68</v>
      </c>
      <c r="B1" s="6" t="s">
        <v>69</v>
      </c>
      <c r="C1" s="6" t="s">
        <v>70</v>
      </c>
      <c r="D1" s="6" t="s">
        <v>71</v>
      </c>
      <c r="E1" s="6" t="s">
        <v>72</v>
      </c>
      <c r="F1" s="6" t="s">
        <v>73</v>
      </c>
      <c r="G1" s="6" t="s">
        <v>74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B5E20"/>
  </sheetPr>
  <dimension ref="A1:F6"/>
  <sheetViews>
    <sheetView showGridLines="0" tabSelected="1" workbookViewId="0">
      <pane ySplit="1" topLeftCell="A2" activePane="bottomLeft" state="frozen"/>
      <selection pane="bottomLeft" activeCell="D8" sqref="D8"/>
    </sheetView>
  </sheetViews>
  <sheetFormatPr defaultRowHeight="14.5" x14ac:dyDescent="0.35"/>
  <cols>
    <col min="1" max="1" width="10.1796875" style="22" bestFit="1" customWidth="1"/>
    <col min="2" max="2" width="4.81640625" bestFit="1" customWidth="1"/>
    <col min="3" max="3" width="5.81640625" bestFit="1" customWidth="1"/>
    <col min="4" max="4" width="28.6328125" bestFit="1" customWidth="1"/>
    <col min="5" max="5" width="9.1796875" bestFit="1" customWidth="1"/>
    <col min="6" max="6" width="9.90625" bestFit="1" customWidth="1"/>
    <col min="7" max="8" width="14" customWidth="1"/>
    <col min="9" max="9" width="16" customWidth="1"/>
    <col min="10" max="11" width="14" customWidth="1"/>
  </cols>
  <sheetData>
    <row r="1" spans="1:6" x14ac:dyDescent="0.35">
      <c r="A1" s="46" t="s">
        <v>75</v>
      </c>
      <c r="B1" s="45" t="s">
        <v>76</v>
      </c>
      <c r="C1" s="45" t="s">
        <v>70</v>
      </c>
      <c r="D1" s="45" t="s">
        <v>77</v>
      </c>
      <c r="E1" s="45" t="s">
        <v>309</v>
      </c>
      <c r="F1" s="45" t="s">
        <v>310</v>
      </c>
    </row>
    <row r="2" spans="1:6" x14ac:dyDescent="0.35">
      <c r="A2" s="22">
        <v>0</v>
      </c>
      <c r="B2" t="s">
        <v>311</v>
      </c>
      <c r="C2">
        <v>0</v>
      </c>
      <c r="D2" t="s">
        <v>312</v>
      </c>
      <c r="E2">
        <v>0</v>
      </c>
      <c r="F2">
        <v>0</v>
      </c>
    </row>
    <row r="3" spans="1:6" x14ac:dyDescent="0.35">
      <c r="A3" s="22">
        <v>0</v>
      </c>
      <c r="B3" t="s">
        <v>313</v>
      </c>
      <c r="C3">
        <v>0</v>
      </c>
      <c r="D3" t="s">
        <v>314</v>
      </c>
      <c r="E3">
        <v>0</v>
      </c>
      <c r="F3">
        <v>0</v>
      </c>
    </row>
    <row r="4" spans="1:6" x14ac:dyDescent="0.35">
      <c r="A4" s="22">
        <v>1.1574074074074073E-5</v>
      </c>
      <c r="B4" t="s">
        <v>311</v>
      </c>
      <c r="C4">
        <v>100</v>
      </c>
      <c r="D4" t="s">
        <v>315</v>
      </c>
      <c r="E4">
        <v>0</v>
      </c>
      <c r="F4">
        <v>0</v>
      </c>
    </row>
    <row r="5" spans="1:6" x14ac:dyDescent="0.35">
      <c r="A5" s="22">
        <v>2.0949074074074073E-3</v>
      </c>
      <c r="B5" t="s">
        <v>313</v>
      </c>
      <c r="C5">
        <v>13.77</v>
      </c>
      <c r="D5" t="s">
        <v>316</v>
      </c>
      <c r="E5">
        <v>2808989</v>
      </c>
      <c r="F5">
        <v>2808989</v>
      </c>
    </row>
    <row r="6" spans="1:6" x14ac:dyDescent="0.35">
      <c r="A6" s="22">
        <v>3.4027777777777776E-3</v>
      </c>
      <c r="B6" t="s">
        <v>317</v>
      </c>
      <c r="C6">
        <v>0</v>
      </c>
      <c r="D6" t="s">
        <v>318</v>
      </c>
      <c r="E6">
        <v>4573928</v>
      </c>
      <c r="F6">
        <v>4573928</v>
      </c>
    </row>
  </sheetData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E65100"/>
  </sheetPr>
  <dimension ref="A1:D1"/>
  <sheetViews>
    <sheetView showGridLines="0" workbookViewId="0">
      <pane ySplit="1" topLeftCell="A2" activePane="bottomLeft" state="frozen"/>
      <selection pane="bottomLeft"/>
    </sheetView>
  </sheetViews>
  <sheetFormatPr defaultRowHeight="14.5" x14ac:dyDescent="0.35"/>
  <cols>
    <col min="1" max="3" width="12" customWidth="1"/>
    <col min="4" max="4" width="30" customWidth="1"/>
  </cols>
  <sheetData>
    <row r="1" spans="1:4" x14ac:dyDescent="0.35">
      <c r="A1" s="6" t="s">
        <v>75</v>
      </c>
      <c r="B1" s="6" t="s">
        <v>63</v>
      </c>
      <c r="C1" s="6" t="s">
        <v>64</v>
      </c>
      <c r="D1" s="6" t="s">
        <v>71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37474F"/>
  </sheetPr>
  <dimension ref="A1:C168"/>
  <sheetViews>
    <sheetView showGridLines="0" workbookViewId="0">
      <pane ySplit="1" topLeftCell="A128" activePane="bottomLeft" state="frozen"/>
      <selection pane="bottomLeft" activeCell="C138" sqref="C138"/>
    </sheetView>
  </sheetViews>
  <sheetFormatPr defaultRowHeight="14.5" x14ac:dyDescent="0.35"/>
  <cols>
    <col min="1" max="1" width="21.36328125" style="22" customWidth="1"/>
    <col min="2" max="2" width="12" customWidth="1"/>
    <col min="3" max="3" width="60" customWidth="1"/>
  </cols>
  <sheetData>
    <row r="1" spans="1:3" x14ac:dyDescent="0.35">
      <c r="A1" s="21" t="s">
        <v>75</v>
      </c>
      <c r="B1" s="7" t="s">
        <v>78</v>
      </c>
      <c r="C1" s="7" t="s">
        <v>79</v>
      </c>
    </row>
    <row r="2" spans="1:3" x14ac:dyDescent="0.35">
      <c r="A2" s="22" t="s">
        <v>177</v>
      </c>
      <c r="B2" t="s">
        <v>84</v>
      </c>
    </row>
    <row r="3" spans="1:3" x14ac:dyDescent="0.35">
      <c r="A3" s="22" t="s">
        <v>178</v>
      </c>
      <c r="B3" t="s">
        <v>107</v>
      </c>
      <c r="C3" t="s">
        <v>112</v>
      </c>
    </row>
    <row r="4" spans="1:3" x14ac:dyDescent="0.35">
      <c r="A4" s="22" t="s">
        <v>178</v>
      </c>
      <c r="B4" t="s">
        <v>107</v>
      </c>
      <c r="C4" t="s">
        <v>113</v>
      </c>
    </row>
    <row r="5" spans="1:3" x14ac:dyDescent="0.35">
      <c r="A5" s="22" t="s">
        <v>178</v>
      </c>
      <c r="B5" t="s">
        <v>91</v>
      </c>
      <c r="C5" t="s">
        <v>114</v>
      </c>
    </row>
    <row r="6" spans="1:3" x14ac:dyDescent="0.35">
      <c r="A6" s="22" t="s">
        <v>179</v>
      </c>
      <c r="B6" t="s">
        <v>92</v>
      </c>
    </row>
    <row r="7" spans="1:3" x14ac:dyDescent="0.35">
      <c r="A7" s="22" t="s">
        <v>180</v>
      </c>
      <c r="B7" t="s">
        <v>92</v>
      </c>
      <c r="C7" t="s">
        <v>115</v>
      </c>
    </row>
    <row r="8" spans="1:3" x14ac:dyDescent="0.35">
      <c r="A8" s="22" t="s">
        <v>180</v>
      </c>
      <c r="B8" t="s">
        <v>92</v>
      </c>
      <c r="C8" t="s">
        <v>116</v>
      </c>
    </row>
    <row r="9" spans="1:3" x14ac:dyDescent="0.35">
      <c r="A9" s="22" t="s">
        <v>180</v>
      </c>
      <c r="B9" t="s">
        <v>92</v>
      </c>
      <c r="C9" t="s">
        <v>93</v>
      </c>
    </row>
    <row r="10" spans="1:3" x14ac:dyDescent="0.35">
      <c r="A10" s="22" t="s">
        <v>180</v>
      </c>
      <c r="B10" t="s">
        <v>92</v>
      </c>
      <c r="C10" t="s">
        <v>94</v>
      </c>
    </row>
    <row r="11" spans="1:3" x14ac:dyDescent="0.35">
      <c r="A11" s="22" t="s">
        <v>181</v>
      </c>
      <c r="B11" t="s">
        <v>92</v>
      </c>
      <c r="C11" t="s">
        <v>117</v>
      </c>
    </row>
    <row r="12" spans="1:3" x14ac:dyDescent="0.35">
      <c r="A12" s="22" t="s">
        <v>181</v>
      </c>
      <c r="B12" t="s">
        <v>107</v>
      </c>
      <c r="C12" t="s">
        <v>108</v>
      </c>
    </row>
    <row r="13" spans="1:3" x14ac:dyDescent="0.35">
      <c r="A13" s="22" t="s">
        <v>181</v>
      </c>
      <c r="B13" t="s">
        <v>84</v>
      </c>
      <c r="C13" t="s">
        <v>118</v>
      </c>
    </row>
    <row r="14" spans="1:3" x14ac:dyDescent="0.35">
      <c r="A14" s="22" t="s">
        <v>182</v>
      </c>
      <c r="B14" t="s">
        <v>120</v>
      </c>
      <c r="C14" t="s">
        <v>121</v>
      </c>
    </row>
    <row r="15" spans="1:3" x14ac:dyDescent="0.35">
      <c r="A15" s="22" t="s">
        <v>182</v>
      </c>
      <c r="B15" t="s">
        <v>120</v>
      </c>
      <c r="C15" t="s">
        <v>122</v>
      </c>
    </row>
    <row r="16" spans="1:3" x14ac:dyDescent="0.35">
      <c r="A16" s="22" t="s">
        <v>182</v>
      </c>
      <c r="B16" t="s">
        <v>84</v>
      </c>
    </row>
    <row r="17" spans="1:3" x14ac:dyDescent="0.35">
      <c r="A17" s="22" t="s">
        <v>182</v>
      </c>
      <c r="B17" t="s">
        <v>84</v>
      </c>
    </row>
    <row r="18" spans="1:3" x14ac:dyDescent="0.35">
      <c r="A18" s="22" t="s">
        <v>183</v>
      </c>
      <c r="B18" t="s">
        <v>92</v>
      </c>
      <c r="C18" t="s">
        <v>123</v>
      </c>
    </row>
    <row r="19" spans="1:3" x14ac:dyDescent="0.35">
      <c r="A19" s="22" t="s">
        <v>184</v>
      </c>
      <c r="B19" t="s">
        <v>120</v>
      </c>
      <c r="C19" t="s">
        <v>126</v>
      </c>
    </row>
    <row r="20" spans="1:3" x14ac:dyDescent="0.35">
      <c r="A20" s="22" t="s">
        <v>184</v>
      </c>
      <c r="B20" t="s">
        <v>92</v>
      </c>
      <c r="C20" t="s">
        <v>125</v>
      </c>
    </row>
    <row r="21" spans="1:3" x14ac:dyDescent="0.35">
      <c r="A21" s="22" t="s">
        <v>184</v>
      </c>
      <c r="B21" t="s">
        <v>84</v>
      </c>
      <c r="C21" t="s">
        <v>127</v>
      </c>
    </row>
    <row r="22" spans="1:3" x14ac:dyDescent="0.35">
      <c r="A22" s="22" t="s">
        <v>184</v>
      </c>
      <c r="B22" t="s">
        <v>124</v>
      </c>
      <c r="C22" t="s">
        <v>185</v>
      </c>
    </row>
    <row r="23" spans="1:3" x14ac:dyDescent="0.35">
      <c r="A23" s="22" t="s">
        <v>186</v>
      </c>
      <c r="B23" t="s">
        <v>124</v>
      </c>
      <c r="C23" t="s">
        <v>187</v>
      </c>
    </row>
    <row r="24" spans="1:3" x14ac:dyDescent="0.35">
      <c r="A24" s="22" t="s">
        <v>188</v>
      </c>
      <c r="B24" t="s">
        <v>120</v>
      </c>
      <c r="C24" t="s">
        <v>189</v>
      </c>
    </row>
    <row r="25" spans="1:3" x14ac:dyDescent="0.35">
      <c r="A25" s="22" t="s">
        <v>188</v>
      </c>
      <c r="B25" t="s">
        <v>92</v>
      </c>
      <c r="C25" t="s">
        <v>128</v>
      </c>
    </row>
    <row r="26" spans="1:3" x14ac:dyDescent="0.35">
      <c r="A26" s="22" t="s">
        <v>188</v>
      </c>
      <c r="B26" t="s">
        <v>84</v>
      </c>
      <c r="C26" t="s">
        <v>190</v>
      </c>
    </row>
    <row r="27" spans="1:3" x14ac:dyDescent="0.35">
      <c r="A27" s="22" t="s">
        <v>191</v>
      </c>
      <c r="B27" t="s">
        <v>120</v>
      </c>
      <c r="C27" t="s">
        <v>129</v>
      </c>
    </row>
    <row r="28" spans="1:3" x14ac:dyDescent="0.35">
      <c r="A28" s="22" t="s">
        <v>191</v>
      </c>
      <c r="B28" t="s">
        <v>107</v>
      </c>
      <c r="C28" t="s">
        <v>108</v>
      </c>
    </row>
    <row r="29" spans="1:3" x14ac:dyDescent="0.35">
      <c r="A29" s="22" t="s">
        <v>191</v>
      </c>
      <c r="B29" t="s">
        <v>92</v>
      </c>
      <c r="C29" t="s">
        <v>131</v>
      </c>
    </row>
    <row r="30" spans="1:3" x14ac:dyDescent="0.35">
      <c r="A30" s="22" t="s">
        <v>191</v>
      </c>
      <c r="B30" t="s">
        <v>92</v>
      </c>
      <c r="C30" t="s">
        <v>160</v>
      </c>
    </row>
    <row r="31" spans="1:3" x14ac:dyDescent="0.35">
      <c r="A31" s="22" t="s">
        <v>191</v>
      </c>
      <c r="B31" t="s">
        <v>84</v>
      </c>
      <c r="C31" t="s">
        <v>151</v>
      </c>
    </row>
    <row r="32" spans="1:3" x14ac:dyDescent="0.35">
      <c r="A32" s="22" t="s">
        <v>191</v>
      </c>
      <c r="B32" t="s">
        <v>124</v>
      </c>
      <c r="C32" t="s">
        <v>192</v>
      </c>
    </row>
    <row r="33" spans="1:3" x14ac:dyDescent="0.35">
      <c r="A33" s="22" t="s">
        <v>193</v>
      </c>
      <c r="B33" t="s">
        <v>120</v>
      </c>
      <c r="C33" t="s">
        <v>152</v>
      </c>
    </row>
    <row r="34" spans="1:3" x14ac:dyDescent="0.35">
      <c r="A34" s="22" t="s">
        <v>193</v>
      </c>
      <c r="B34" t="s">
        <v>92</v>
      </c>
      <c r="C34" t="s">
        <v>132</v>
      </c>
    </row>
    <row r="35" spans="1:3" x14ac:dyDescent="0.35">
      <c r="A35" s="22" t="s">
        <v>193</v>
      </c>
      <c r="B35" t="s">
        <v>92</v>
      </c>
      <c r="C35" t="s">
        <v>161</v>
      </c>
    </row>
    <row r="36" spans="1:3" x14ac:dyDescent="0.35">
      <c r="A36" s="22" t="s">
        <v>193</v>
      </c>
      <c r="B36" t="s">
        <v>84</v>
      </c>
      <c r="C36" t="s">
        <v>153</v>
      </c>
    </row>
    <row r="37" spans="1:3" x14ac:dyDescent="0.35">
      <c r="A37" s="22" t="s">
        <v>193</v>
      </c>
      <c r="B37" t="s">
        <v>124</v>
      </c>
      <c r="C37" t="s">
        <v>194</v>
      </c>
    </row>
    <row r="38" spans="1:3" x14ac:dyDescent="0.35">
      <c r="A38" s="22" t="s">
        <v>195</v>
      </c>
      <c r="B38" t="s">
        <v>120</v>
      </c>
      <c r="C38" t="s">
        <v>154</v>
      </c>
    </row>
    <row r="39" spans="1:3" x14ac:dyDescent="0.35">
      <c r="A39" s="22" t="s">
        <v>195</v>
      </c>
      <c r="B39" t="s">
        <v>92</v>
      </c>
      <c r="C39" t="s">
        <v>133</v>
      </c>
    </row>
    <row r="40" spans="1:3" x14ac:dyDescent="0.35">
      <c r="A40" s="22" t="s">
        <v>195</v>
      </c>
      <c r="B40" t="s">
        <v>92</v>
      </c>
      <c r="C40" t="s">
        <v>162</v>
      </c>
    </row>
    <row r="41" spans="1:3" x14ac:dyDescent="0.35">
      <c r="A41" s="22" t="s">
        <v>195</v>
      </c>
      <c r="B41" t="s">
        <v>84</v>
      </c>
      <c r="C41" t="s">
        <v>155</v>
      </c>
    </row>
    <row r="42" spans="1:3" x14ac:dyDescent="0.35">
      <c r="A42" s="22" t="s">
        <v>195</v>
      </c>
      <c r="B42" t="s">
        <v>124</v>
      </c>
      <c r="C42" t="s">
        <v>196</v>
      </c>
    </row>
    <row r="43" spans="1:3" x14ac:dyDescent="0.35">
      <c r="A43" s="22" t="s">
        <v>197</v>
      </c>
      <c r="B43" t="s">
        <v>124</v>
      </c>
      <c r="C43" t="s">
        <v>198</v>
      </c>
    </row>
    <row r="44" spans="1:3" x14ac:dyDescent="0.35">
      <c r="A44" s="22" t="s">
        <v>199</v>
      </c>
      <c r="B44" t="s">
        <v>120</v>
      </c>
      <c r="C44" t="s">
        <v>200</v>
      </c>
    </row>
    <row r="45" spans="1:3" x14ac:dyDescent="0.35">
      <c r="A45" s="22" t="s">
        <v>199</v>
      </c>
      <c r="B45" t="s">
        <v>92</v>
      </c>
      <c r="C45" t="s">
        <v>134</v>
      </c>
    </row>
    <row r="46" spans="1:3" x14ac:dyDescent="0.35">
      <c r="A46" s="22" t="s">
        <v>199</v>
      </c>
      <c r="B46" t="s">
        <v>92</v>
      </c>
      <c r="C46" t="s">
        <v>163</v>
      </c>
    </row>
    <row r="47" spans="1:3" x14ac:dyDescent="0.35">
      <c r="A47" s="22" t="s">
        <v>199</v>
      </c>
      <c r="B47" t="s">
        <v>84</v>
      </c>
      <c r="C47" t="s">
        <v>201</v>
      </c>
    </row>
    <row r="48" spans="1:3" x14ac:dyDescent="0.35">
      <c r="A48" s="22" t="s">
        <v>199</v>
      </c>
      <c r="B48" t="s">
        <v>124</v>
      </c>
      <c r="C48" t="s">
        <v>202</v>
      </c>
    </row>
    <row r="49" spans="1:3" x14ac:dyDescent="0.35">
      <c r="A49" s="22" t="s">
        <v>203</v>
      </c>
      <c r="B49" t="s">
        <v>124</v>
      </c>
      <c r="C49" t="s">
        <v>204</v>
      </c>
    </row>
    <row r="50" spans="1:3" x14ac:dyDescent="0.35">
      <c r="A50" s="22" t="s">
        <v>205</v>
      </c>
      <c r="B50" t="s">
        <v>120</v>
      </c>
      <c r="C50" t="s">
        <v>156</v>
      </c>
    </row>
    <row r="51" spans="1:3" x14ac:dyDescent="0.35">
      <c r="A51" s="22" t="s">
        <v>205</v>
      </c>
      <c r="B51" t="s">
        <v>92</v>
      </c>
      <c r="C51" t="s">
        <v>135</v>
      </c>
    </row>
    <row r="52" spans="1:3" x14ac:dyDescent="0.35">
      <c r="A52" s="22" t="s">
        <v>205</v>
      </c>
      <c r="B52" t="s">
        <v>92</v>
      </c>
      <c r="C52" t="s">
        <v>206</v>
      </c>
    </row>
    <row r="53" spans="1:3" x14ac:dyDescent="0.35">
      <c r="A53" s="22" t="s">
        <v>205</v>
      </c>
      <c r="B53" t="s">
        <v>84</v>
      </c>
      <c r="C53" t="s">
        <v>157</v>
      </c>
    </row>
    <row r="54" spans="1:3" x14ac:dyDescent="0.35">
      <c r="A54" s="22" t="s">
        <v>205</v>
      </c>
      <c r="B54" t="s">
        <v>124</v>
      </c>
      <c r="C54" t="s">
        <v>207</v>
      </c>
    </row>
    <row r="55" spans="1:3" x14ac:dyDescent="0.35">
      <c r="A55" s="22" t="s">
        <v>208</v>
      </c>
      <c r="B55" t="s">
        <v>124</v>
      </c>
      <c r="C55" t="s">
        <v>209</v>
      </c>
    </row>
    <row r="56" spans="1:3" x14ac:dyDescent="0.35">
      <c r="A56" s="22" t="s">
        <v>210</v>
      </c>
      <c r="B56" t="s">
        <v>120</v>
      </c>
      <c r="C56" t="s">
        <v>211</v>
      </c>
    </row>
    <row r="57" spans="1:3" x14ac:dyDescent="0.35">
      <c r="A57" s="22" t="s">
        <v>210</v>
      </c>
      <c r="B57" t="s">
        <v>92</v>
      </c>
      <c r="C57" t="s">
        <v>136</v>
      </c>
    </row>
    <row r="58" spans="1:3" x14ac:dyDescent="0.35">
      <c r="A58" s="22" t="s">
        <v>210</v>
      </c>
      <c r="B58" t="s">
        <v>92</v>
      </c>
      <c r="C58" t="s">
        <v>172</v>
      </c>
    </row>
    <row r="59" spans="1:3" x14ac:dyDescent="0.35">
      <c r="A59" s="22" t="s">
        <v>210</v>
      </c>
      <c r="B59" t="s">
        <v>84</v>
      </c>
      <c r="C59" t="s">
        <v>212</v>
      </c>
    </row>
    <row r="60" spans="1:3" x14ac:dyDescent="0.35">
      <c r="A60" s="22" t="s">
        <v>210</v>
      </c>
      <c r="B60" t="s">
        <v>124</v>
      </c>
      <c r="C60" t="s">
        <v>213</v>
      </c>
    </row>
    <row r="61" spans="1:3" x14ac:dyDescent="0.35">
      <c r="A61" s="22" t="s">
        <v>214</v>
      </c>
      <c r="B61" t="s">
        <v>124</v>
      </c>
      <c r="C61" t="s">
        <v>215</v>
      </c>
    </row>
    <row r="62" spans="1:3" x14ac:dyDescent="0.35">
      <c r="A62" s="22" t="s">
        <v>216</v>
      </c>
      <c r="B62" t="s">
        <v>120</v>
      </c>
      <c r="C62" t="s">
        <v>217</v>
      </c>
    </row>
    <row r="63" spans="1:3" x14ac:dyDescent="0.35">
      <c r="A63" s="22" t="s">
        <v>216</v>
      </c>
      <c r="B63" t="s">
        <v>92</v>
      </c>
      <c r="C63" t="s">
        <v>137</v>
      </c>
    </row>
    <row r="64" spans="1:3" x14ac:dyDescent="0.35">
      <c r="A64" s="22" t="s">
        <v>216</v>
      </c>
      <c r="B64" t="s">
        <v>92</v>
      </c>
      <c r="C64" t="s">
        <v>150</v>
      </c>
    </row>
    <row r="65" spans="1:3" x14ac:dyDescent="0.35">
      <c r="A65" s="22" t="s">
        <v>216</v>
      </c>
      <c r="B65" t="s">
        <v>84</v>
      </c>
      <c r="C65" t="s">
        <v>218</v>
      </c>
    </row>
    <row r="66" spans="1:3" x14ac:dyDescent="0.35">
      <c r="A66" s="22" t="s">
        <v>216</v>
      </c>
      <c r="B66" t="s">
        <v>124</v>
      </c>
      <c r="C66" t="s">
        <v>219</v>
      </c>
    </row>
    <row r="67" spans="1:3" x14ac:dyDescent="0.35">
      <c r="A67" s="22" t="s">
        <v>220</v>
      </c>
      <c r="B67" t="s">
        <v>120</v>
      </c>
      <c r="C67" t="s">
        <v>221</v>
      </c>
    </row>
    <row r="68" spans="1:3" x14ac:dyDescent="0.35">
      <c r="A68" s="22" t="s">
        <v>220</v>
      </c>
      <c r="B68" t="s">
        <v>92</v>
      </c>
      <c r="C68" t="s">
        <v>138</v>
      </c>
    </row>
    <row r="69" spans="1:3" x14ac:dyDescent="0.35">
      <c r="A69" s="22" t="s">
        <v>220</v>
      </c>
      <c r="B69" t="s">
        <v>92</v>
      </c>
      <c r="C69" t="s">
        <v>164</v>
      </c>
    </row>
    <row r="70" spans="1:3" x14ac:dyDescent="0.35">
      <c r="A70" s="22" t="s">
        <v>220</v>
      </c>
      <c r="B70" t="s">
        <v>84</v>
      </c>
      <c r="C70" t="s">
        <v>222</v>
      </c>
    </row>
    <row r="71" spans="1:3" x14ac:dyDescent="0.35">
      <c r="A71" s="22" t="s">
        <v>220</v>
      </c>
      <c r="B71" t="s">
        <v>124</v>
      </c>
      <c r="C71" t="s">
        <v>223</v>
      </c>
    </row>
    <row r="72" spans="1:3" x14ac:dyDescent="0.35">
      <c r="A72" s="22" t="s">
        <v>224</v>
      </c>
      <c r="B72" t="s">
        <v>120</v>
      </c>
      <c r="C72" t="s">
        <v>225</v>
      </c>
    </row>
    <row r="73" spans="1:3" x14ac:dyDescent="0.35">
      <c r="A73" s="22" t="s">
        <v>224</v>
      </c>
      <c r="B73" t="s">
        <v>92</v>
      </c>
      <c r="C73" t="s">
        <v>139</v>
      </c>
    </row>
    <row r="74" spans="1:3" x14ac:dyDescent="0.35">
      <c r="A74" s="22" t="s">
        <v>224</v>
      </c>
      <c r="B74" t="s">
        <v>92</v>
      </c>
      <c r="C74" t="s">
        <v>165</v>
      </c>
    </row>
    <row r="75" spans="1:3" x14ac:dyDescent="0.35">
      <c r="A75" s="22" t="s">
        <v>224</v>
      </c>
      <c r="B75" t="s">
        <v>84</v>
      </c>
      <c r="C75" t="s">
        <v>173</v>
      </c>
    </row>
    <row r="76" spans="1:3" x14ac:dyDescent="0.35">
      <c r="A76" s="22" t="s">
        <v>224</v>
      </c>
      <c r="B76" t="s">
        <v>124</v>
      </c>
      <c r="C76" t="s">
        <v>226</v>
      </c>
    </row>
    <row r="77" spans="1:3" x14ac:dyDescent="0.35">
      <c r="A77" s="22" t="s">
        <v>227</v>
      </c>
      <c r="B77" t="s">
        <v>124</v>
      </c>
      <c r="C77" t="s">
        <v>228</v>
      </c>
    </row>
    <row r="78" spans="1:3" x14ac:dyDescent="0.35">
      <c r="A78" s="22" t="s">
        <v>229</v>
      </c>
      <c r="B78" t="s">
        <v>120</v>
      </c>
      <c r="C78" t="s">
        <v>230</v>
      </c>
    </row>
    <row r="79" spans="1:3" x14ac:dyDescent="0.35">
      <c r="A79" s="22" t="s">
        <v>229</v>
      </c>
      <c r="B79" t="s">
        <v>92</v>
      </c>
      <c r="C79" t="s">
        <v>140</v>
      </c>
    </row>
    <row r="80" spans="1:3" x14ac:dyDescent="0.35">
      <c r="A80" s="22" t="s">
        <v>229</v>
      </c>
      <c r="B80" t="s">
        <v>92</v>
      </c>
      <c r="C80" t="s">
        <v>166</v>
      </c>
    </row>
    <row r="81" spans="1:3" x14ac:dyDescent="0.35">
      <c r="A81" s="22" t="s">
        <v>229</v>
      </c>
      <c r="B81" t="s">
        <v>84</v>
      </c>
      <c r="C81" t="s">
        <v>231</v>
      </c>
    </row>
    <row r="82" spans="1:3" x14ac:dyDescent="0.35">
      <c r="A82" s="22" t="s">
        <v>229</v>
      </c>
      <c r="B82" t="s">
        <v>124</v>
      </c>
      <c r="C82" t="s">
        <v>232</v>
      </c>
    </row>
    <row r="83" spans="1:3" x14ac:dyDescent="0.35">
      <c r="A83" s="22" t="s">
        <v>233</v>
      </c>
      <c r="B83" t="s">
        <v>124</v>
      </c>
      <c r="C83" t="s">
        <v>234</v>
      </c>
    </row>
    <row r="84" spans="1:3" x14ac:dyDescent="0.35">
      <c r="A84" s="22" t="s">
        <v>235</v>
      </c>
      <c r="B84" t="s">
        <v>120</v>
      </c>
      <c r="C84" t="s">
        <v>236</v>
      </c>
    </row>
    <row r="85" spans="1:3" x14ac:dyDescent="0.35">
      <c r="A85" s="22" t="s">
        <v>235</v>
      </c>
      <c r="B85" t="s">
        <v>92</v>
      </c>
      <c r="C85" t="s">
        <v>141</v>
      </c>
    </row>
    <row r="86" spans="1:3" x14ac:dyDescent="0.35">
      <c r="A86" s="22" t="s">
        <v>235</v>
      </c>
      <c r="B86" t="s">
        <v>92</v>
      </c>
      <c r="C86" t="s">
        <v>167</v>
      </c>
    </row>
    <row r="87" spans="1:3" x14ac:dyDescent="0.35">
      <c r="A87" s="22" t="s">
        <v>235</v>
      </c>
      <c r="B87" t="s">
        <v>84</v>
      </c>
      <c r="C87" t="s">
        <v>237</v>
      </c>
    </row>
    <row r="88" spans="1:3" x14ac:dyDescent="0.35">
      <c r="A88" s="22" t="s">
        <v>235</v>
      </c>
      <c r="B88" t="s">
        <v>124</v>
      </c>
      <c r="C88" t="s">
        <v>238</v>
      </c>
    </row>
    <row r="89" spans="1:3" x14ac:dyDescent="0.35">
      <c r="A89" s="22" t="s">
        <v>239</v>
      </c>
      <c r="B89" t="s">
        <v>120</v>
      </c>
      <c r="C89" t="s">
        <v>240</v>
      </c>
    </row>
    <row r="90" spans="1:3" x14ac:dyDescent="0.35">
      <c r="A90" s="22" t="s">
        <v>239</v>
      </c>
      <c r="B90" t="s">
        <v>92</v>
      </c>
      <c r="C90" t="s">
        <v>142</v>
      </c>
    </row>
    <row r="91" spans="1:3" x14ac:dyDescent="0.35">
      <c r="A91" s="22" t="s">
        <v>239</v>
      </c>
      <c r="B91" t="s">
        <v>92</v>
      </c>
      <c r="C91" t="s">
        <v>168</v>
      </c>
    </row>
    <row r="92" spans="1:3" x14ac:dyDescent="0.35">
      <c r="A92" s="22" t="s">
        <v>239</v>
      </c>
      <c r="B92" t="s">
        <v>84</v>
      </c>
      <c r="C92" t="s">
        <v>241</v>
      </c>
    </row>
    <row r="93" spans="1:3" x14ac:dyDescent="0.35">
      <c r="A93" s="22" t="s">
        <v>239</v>
      </c>
      <c r="B93" t="s">
        <v>124</v>
      </c>
      <c r="C93" t="s">
        <v>242</v>
      </c>
    </row>
    <row r="94" spans="1:3" x14ac:dyDescent="0.35">
      <c r="A94" s="22" t="s">
        <v>243</v>
      </c>
      <c r="B94" t="s">
        <v>120</v>
      </c>
      <c r="C94" t="s">
        <v>244</v>
      </c>
    </row>
    <row r="95" spans="1:3" x14ac:dyDescent="0.35">
      <c r="A95" s="22" t="s">
        <v>243</v>
      </c>
      <c r="B95" t="s">
        <v>92</v>
      </c>
      <c r="C95" t="s">
        <v>143</v>
      </c>
    </row>
    <row r="96" spans="1:3" x14ac:dyDescent="0.35">
      <c r="A96" s="22" t="s">
        <v>243</v>
      </c>
      <c r="B96" t="s">
        <v>92</v>
      </c>
      <c r="C96" t="s">
        <v>169</v>
      </c>
    </row>
    <row r="97" spans="1:3" x14ac:dyDescent="0.35">
      <c r="A97" s="22" t="s">
        <v>243</v>
      </c>
      <c r="B97" t="s">
        <v>84</v>
      </c>
      <c r="C97" t="s">
        <v>245</v>
      </c>
    </row>
    <row r="98" spans="1:3" x14ac:dyDescent="0.35">
      <c r="A98" s="22" t="s">
        <v>243</v>
      </c>
      <c r="B98" t="s">
        <v>124</v>
      </c>
      <c r="C98" t="s">
        <v>246</v>
      </c>
    </row>
    <row r="99" spans="1:3" x14ac:dyDescent="0.35">
      <c r="A99" s="22" t="s">
        <v>247</v>
      </c>
      <c r="B99" t="s">
        <v>120</v>
      </c>
      <c r="C99" t="s">
        <v>248</v>
      </c>
    </row>
    <row r="100" spans="1:3" x14ac:dyDescent="0.35">
      <c r="A100" s="22" t="s">
        <v>247</v>
      </c>
      <c r="B100" t="s">
        <v>92</v>
      </c>
      <c r="C100" t="s">
        <v>144</v>
      </c>
    </row>
    <row r="101" spans="1:3" x14ac:dyDescent="0.35">
      <c r="A101" s="22" t="s">
        <v>247</v>
      </c>
      <c r="B101" t="s">
        <v>92</v>
      </c>
      <c r="C101" t="s">
        <v>170</v>
      </c>
    </row>
    <row r="102" spans="1:3" x14ac:dyDescent="0.35">
      <c r="A102" s="22" t="s">
        <v>247</v>
      </c>
      <c r="B102" t="s">
        <v>84</v>
      </c>
      <c r="C102" t="s">
        <v>249</v>
      </c>
    </row>
    <row r="103" spans="1:3" x14ac:dyDescent="0.35">
      <c r="A103" s="22" t="s">
        <v>247</v>
      </c>
      <c r="B103" t="s">
        <v>124</v>
      </c>
      <c r="C103" t="s">
        <v>250</v>
      </c>
    </row>
    <row r="104" spans="1:3" x14ac:dyDescent="0.35">
      <c r="A104" s="22" t="s">
        <v>251</v>
      </c>
      <c r="B104" t="s">
        <v>120</v>
      </c>
      <c r="C104" t="s">
        <v>252</v>
      </c>
    </row>
    <row r="105" spans="1:3" x14ac:dyDescent="0.35">
      <c r="A105" s="22" t="s">
        <v>251</v>
      </c>
      <c r="B105" t="s">
        <v>92</v>
      </c>
      <c r="C105" t="s">
        <v>145</v>
      </c>
    </row>
    <row r="106" spans="1:3" x14ac:dyDescent="0.35">
      <c r="A106" s="22" t="s">
        <v>253</v>
      </c>
      <c r="B106" t="s">
        <v>92</v>
      </c>
      <c r="C106" t="s">
        <v>171</v>
      </c>
    </row>
    <row r="107" spans="1:3" x14ac:dyDescent="0.35">
      <c r="A107" s="22" t="s">
        <v>253</v>
      </c>
      <c r="B107" t="s">
        <v>84</v>
      </c>
      <c r="C107" t="s">
        <v>254</v>
      </c>
    </row>
    <row r="108" spans="1:3" x14ac:dyDescent="0.35">
      <c r="A108" s="22" t="s">
        <v>253</v>
      </c>
      <c r="B108" t="s">
        <v>124</v>
      </c>
      <c r="C108" t="s">
        <v>255</v>
      </c>
    </row>
    <row r="109" spans="1:3" x14ac:dyDescent="0.35">
      <c r="A109" s="22" t="s">
        <v>256</v>
      </c>
      <c r="B109" t="s">
        <v>120</v>
      </c>
      <c r="C109" t="s">
        <v>257</v>
      </c>
    </row>
    <row r="110" spans="1:3" x14ac:dyDescent="0.35">
      <c r="A110" s="22" t="s">
        <v>256</v>
      </c>
      <c r="B110" t="s">
        <v>92</v>
      </c>
      <c r="C110" t="s">
        <v>146</v>
      </c>
    </row>
    <row r="111" spans="1:3" x14ac:dyDescent="0.35">
      <c r="A111" s="22" t="s">
        <v>258</v>
      </c>
      <c r="B111" t="s">
        <v>92</v>
      </c>
      <c r="C111" t="s">
        <v>259</v>
      </c>
    </row>
    <row r="112" spans="1:3" x14ac:dyDescent="0.35">
      <c r="A112" s="22" t="s">
        <v>258</v>
      </c>
      <c r="B112" t="s">
        <v>124</v>
      </c>
      <c r="C112" t="s">
        <v>130</v>
      </c>
    </row>
    <row r="113" spans="1:3" x14ac:dyDescent="0.35">
      <c r="A113" s="22" t="s">
        <v>258</v>
      </c>
      <c r="B113" t="s">
        <v>84</v>
      </c>
      <c r="C113" t="s">
        <v>260</v>
      </c>
    </row>
    <row r="114" spans="1:3" x14ac:dyDescent="0.35">
      <c r="A114" s="22" t="s">
        <v>258</v>
      </c>
      <c r="B114" t="s">
        <v>124</v>
      </c>
      <c r="C114" t="s">
        <v>261</v>
      </c>
    </row>
    <row r="115" spans="1:3" x14ac:dyDescent="0.35">
      <c r="A115" s="22" t="s">
        <v>262</v>
      </c>
      <c r="B115" t="s">
        <v>120</v>
      </c>
      <c r="C115" t="s">
        <v>263</v>
      </c>
    </row>
    <row r="116" spans="1:3" x14ac:dyDescent="0.35">
      <c r="A116" s="22" t="s">
        <v>262</v>
      </c>
      <c r="B116" t="s">
        <v>92</v>
      </c>
      <c r="C116" t="s">
        <v>147</v>
      </c>
    </row>
    <row r="117" spans="1:3" x14ac:dyDescent="0.35">
      <c r="A117" s="22" t="s">
        <v>262</v>
      </c>
      <c r="B117" t="s">
        <v>92</v>
      </c>
      <c r="C117" t="s">
        <v>174</v>
      </c>
    </row>
    <row r="118" spans="1:3" x14ac:dyDescent="0.35">
      <c r="A118" s="22" t="s">
        <v>264</v>
      </c>
      <c r="B118" t="s">
        <v>124</v>
      </c>
      <c r="C118" t="s">
        <v>265</v>
      </c>
    </row>
    <row r="119" spans="1:3" x14ac:dyDescent="0.35">
      <c r="A119" s="22" t="s">
        <v>264</v>
      </c>
      <c r="B119" t="s">
        <v>84</v>
      </c>
      <c r="C119" t="s">
        <v>266</v>
      </c>
    </row>
    <row r="120" spans="1:3" x14ac:dyDescent="0.35">
      <c r="A120" s="22" t="s">
        <v>264</v>
      </c>
      <c r="B120" t="s">
        <v>124</v>
      </c>
      <c r="C120" t="s">
        <v>267</v>
      </c>
    </row>
    <row r="121" spans="1:3" x14ac:dyDescent="0.35">
      <c r="A121" s="22" t="s">
        <v>268</v>
      </c>
      <c r="B121" t="s">
        <v>120</v>
      </c>
      <c r="C121" t="s">
        <v>269</v>
      </c>
    </row>
    <row r="122" spans="1:3" x14ac:dyDescent="0.35">
      <c r="A122" s="22" t="s">
        <v>268</v>
      </c>
      <c r="B122" t="s">
        <v>92</v>
      </c>
      <c r="C122" t="s">
        <v>148</v>
      </c>
    </row>
    <row r="123" spans="1:3" x14ac:dyDescent="0.35">
      <c r="A123" s="22" t="s">
        <v>268</v>
      </c>
      <c r="B123" t="s">
        <v>92</v>
      </c>
      <c r="C123" t="s">
        <v>175</v>
      </c>
    </row>
    <row r="124" spans="1:3" x14ac:dyDescent="0.35">
      <c r="A124" s="22" t="s">
        <v>268</v>
      </c>
      <c r="B124" t="s">
        <v>84</v>
      </c>
      <c r="C124" t="s">
        <v>270</v>
      </c>
    </row>
    <row r="125" spans="1:3" x14ac:dyDescent="0.35">
      <c r="A125" s="22" t="s">
        <v>268</v>
      </c>
      <c r="B125" t="s">
        <v>124</v>
      </c>
      <c r="C125" t="s">
        <v>271</v>
      </c>
    </row>
    <row r="126" spans="1:3" x14ac:dyDescent="0.35">
      <c r="A126" s="22" t="s">
        <v>272</v>
      </c>
      <c r="B126" t="s">
        <v>124</v>
      </c>
      <c r="C126" t="s">
        <v>273</v>
      </c>
    </row>
    <row r="127" spans="1:3" x14ac:dyDescent="0.35">
      <c r="A127" s="22" t="s">
        <v>274</v>
      </c>
      <c r="B127" t="s">
        <v>120</v>
      </c>
      <c r="C127" t="s">
        <v>275</v>
      </c>
    </row>
    <row r="128" spans="1:3" x14ac:dyDescent="0.35">
      <c r="A128" s="22" t="s">
        <v>274</v>
      </c>
      <c r="B128" t="s">
        <v>92</v>
      </c>
      <c r="C128" t="s">
        <v>149</v>
      </c>
    </row>
    <row r="129" spans="1:3" x14ac:dyDescent="0.35">
      <c r="A129" s="22" t="s">
        <v>274</v>
      </c>
      <c r="B129" t="s">
        <v>92</v>
      </c>
      <c r="C129" t="s">
        <v>176</v>
      </c>
    </row>
    <row r="130" spans="1:3" x14ac:dyDescent="0.35">
      <c r="A130" s="22" t="s">
        <v>274</v>
      </c>
      <c r="B130" t="s">
        <v>84</v>
      </c>
      <c r="C130" t="s">
        <v>276</v>
      </c>
    </row>
    <row r="131" spans="1:3" x14ac:dyDescent="0.35">
      <c r="A131" s="22" t="s">
        <v>274</v>
      </c>
      <c r="B131" t="s">
        <v>124</v>
      </c>
      <c r="C131" t="s">
        <v>277</v>
      </c>
    </row>
    <row r="132" spans="1:3" x14ac:dyDescent="0.35">
      <c r="A132" s="22" t="s">
        <v>278</v>
      </c>
      <c r="B132" t="s">
        <v>120</v>
      </c>
      <c r="C132" t="s">
        <v>279</v>
      </c>
    </row>
    <row r="133" spans="1:3" x14ac:dyDescent="0.35">
      <c r="A133" s="22" t="s">
        <v>278</v>
      </c>
      <c r="B133" t="s">
        <v>92</v>
      </c>
      <c r="C133" t="s">
        <v>159</v>
      </c>
    </row>
    <row r="134" spans="1:3" x14ac:dyDescent="0.35">
      <c r="A134" s="22" t="s">
        <v>278</v>
      </c>
      <c r="B134" t="s">
        <v>92</v>
      </c>
      <c r="C134" t="s">
        <v>280</v>
      </c>
    </row>
    <row r="135" spans="1:3" x14ac:dyDescent="0.35">
      <c r="A135" s="22" t="s">
        <v>278</v>
      </c>
      <c r="B135" t="s">
        <v>84</v>
      </c>
      <c r="C135" t="s">
        <v>281</v>
      </c>
    </row>
    <row r="136" spans="1:3" x14ac:dyDescent="0.35">
      <c r="A136" s="22" t="s">
        <v>278</v>
      </c>
      <c r="B136" t="s">
        <v>124</v>
      </c>
      <c r="C136" t="s">
        <v>282</v>
      </c>
    </row>
    <row r="137" spans="1:3" x14ac:dyDescent="0.35">
      <c r="A137" s="22" t="s">
        <v>283</v>
      </c>
      <c r="B137" t="s">
        <v>120</v>
      </c>
      <c r="C137" t="s">
        <v>284</v>
      </c>
    </row>
    <row r="138" spans="1:3" x14ac:dyDescent="0.35">
      <c r="A138" s="22" t="s">
        <v>283</v>
      </c>
      <c r="B138" t="s">
        <v>92</v>
      </c>
      <c r="C138" t="s">
        <v>285</v>
      </c>
    </row>
    <row r="139" spans="1:3" x14ac:dyDescent="0.35">
      <c r="A139" s="22" t="s">
        <v>283</v>
      </c>
      <c r="B139" t="s">
        <v>84</v>
      </c>
      <c r="C139" t="s">
        <v>286</v>
      </c>
    </row>
    <row r="140" spans="1:3" x14ac:dyDescent="0.35">
      <c r="A140" s="22" t="s">
        <v>283</v>
      </c>
      <c r="B140" t="s">
        <v>124</v>
      </c>
      <c r="C140" t="s">
        <v>287</v>
      </c>
    </row>
    <row r="141" spans="1:3" x14ac:dyDescent="0.35">
      <c r="A141" s="22" t="s">
        <v>288</v>
      </c>
      <c r="B141" t="s">
        <v>120</v>
      </c>
      <c r="C141" t="s">
        <v>289</v>
      </c>
    </row>
    <row r="142" spans="1:3" x14ac:dyDescent="0.35">
      <c r="A142" s="22" t="s">
        <v>288</v>
      </c>
      <c r="B142" t="s">
        <v>92</v>
      </c>
      <c r="C142" t="s">
        <v>290</v>
      </c>
    </row>
    <row r="143" spans="1:3" x14ac:dyDescent="0.35">
      <c r="A143" s="22" t="s">
        <v>288</v>
      </c>
      <c r="B143" t="s">
        <v>84</v>
      </c>
      <c r="C143" t="s">
        <v>291</v>
      </c>
    </row>
    <row r="144" spans="1:3" x14ac:dyDescent="0.35">
      <c r="A144" s="22" t="s">
        <v>288</v>
      </c>
      <c r="B144" t="s">
        <v>124</v>
      </c>
      <c r="C144" t="s">
        <v>292</v>
      </c>
    </row>
    <row r="145" spans="1:3" x14ac:dyDescent="0.35">
      <c r="A145" s="22" t="s">
        <v>293</v>
      </c>
      <c r="B145" t="s">
        <v>120</v>
      </c>
      <c r="C145" t="s">
        <v>294</v>
      </c>
    </row>
    <row r="146" spans="1:3" x14ac:dyDescent="0.35">
      <c r="A146" s="22" t="s">
        <v>293</v>
      </c>
      <c r="B146" t="s">
        <v>92</v>
      </c>
      <c r="C146" t="s">
        <v>295</v>
      </c>
    </row>
    <row r="147" spans="1:3" x14ac:dyDescent="0.35">
      <c r="A147" s="22" t="s">
        <v>293</v>
      </c>
      <c r="B147" t="s">
        <v>84</v>
      </c>
      <c r="C147" t="s">
        <v>296</v>
      </c>
    </row>
    <row r="148" spans="1:3" x14ac:dyDescent="0.35">
      <c r="A148" s="22" t="s">
        <v>293</v>
      </c>
      <c r="B148" t="s">
        <v>124</v>
      </c>
      <c r="C148" t="s">
        <v>297</v>
      </c>
    </row>
    <row r="149" spans="1:3" x14ac:dyDescent="0.35">
      <c r="A149" s="22" t="s">
        <v>298</v>
      </c>
      <c r="B149" t="s">
        <v>120</v>
      </c>
      <c r="C149" t="s">
        <v>289</v>
      </c>
    </row>
    <row r="150" spans="1:3" x14ac:dyDescent="0.35">
      <c r="A150" s="22" t="s">
        <v>298</v>
      </c>
      <c r="B150" t="s">
        <v>92</v>
      </c>
      <c r="C150" t="s">
        <v>299</v>
      </c>
    </row>
    <row r="151" spans="1:3" x14ac:dyDescent="0.35">
      <c r="A151" s="22" t="s">
        <v>298</v>
      </c>
      <c r="B151" t="s">
        <v>84</v>
      </c>
      <c r="C151" t="s">
        <v>300</v>
      </c>
    </row>
    <row r="152" spans="1:3" x14ac:dyDescent="0.35">
      <c r="A152" s="22" t="s">
        <v>298</v>
      </c>
      <c r="B152" t="s">
        <v>124</v>
      </c>
      <c r="C152" t="s">
        <v>301</v>
      </c>
    </row>
    <row r="153" spans="1:3" x14ac:dyDescent="0.35">
      <c r="A153" s="22" t="s">
        <v>302</v>
      </c>
      <c r="B153" t="s">
        <v>120</v>
      </c>
      <c r="C153" t="s">
        <v>294</v>
      </c>
    </row>
    <row r="154" spans="1:3" x14ac:dyDescent="0.35">
      <c r="A154" s="22" t="s">
        <v>302</v>
      </c>
      <c r="B154" t="s">
        <v>92</v>
      </c>
      <c r="C154" t="s">
        <v>304</v>
      </c>
    </row>
    <row r="155" spans="1:3" x14ac:dyDescent="0.35">
      <c r="A155" s="22" t="s">
        <v>302</v>
      </c>
      <c r="B155" t="s">
        <v>84</v>
      </c>
      <c r="C155" t="s">
        <v>305</v>
      </c>
    </row>
    <row r="156" spans="1:3" x14ac:dyDescent="0.35">
      <c r="A156" s="22" t="s">
        <v>302</v>
      </c>
      <c r="B156" t="s">
        <v>124</v>
      </c>
      <c r="C156" t="s">
        <v>306</v>
      </c>
    </row>
    <row r="157" spans="1:3" x14ac:dyDescent="0.35">
      <c r="A157" s="22" t="s">
        <v>307</v>
      </c>
      <c r="B157" t="s">
        <v>84</v>
      </c>
    </row>
    <row r="158" spans="1:3" x14ac:dyDescent="0.35">
      <c r="A158" s="22" t="s">
        <v>319</v>
      </c>
      <c r="B158" t="s">
        <v>320</v>
      </c>
      <c r="C158" t="s">
        <v>321</v>
      </c>
    </row>
    <row r="159" spans="1:3" x14ac:dyDescent="0.35">
      <c r="A159" s="22" t="s">
        <v>329</v>
      </c>
      <c r="B159" t="s">
        <v>320</v>
      </c>
      <c r="C159" t="s">
        <v>330</v>
      </c>
    </row>
    <row r="160" spans="1:3" x14ac:dyDescent="0.35">
      <c r="A160" s="22" t="s">
        <v>331</v>
      </c>
      <c r="B160" t="s">
        <v>320</v>
      </c>
      <c r="C160" t="s">
        <v>330</v>
      </c>
    </row>
    <row r="161" spans="1:3" x14ac:dyDescent="0.35">
      <c r="A161" s="22" t="s">
        <v>332</v>
      </c>
      <c r="B161" t="s">
        <v>320</v>
      </c>
      <c r="C161" t="s">
        <v>321</v>
      </c>
    </row>
    <row r="162" spans="1:3" x14ac:dyDescent="0.35">
      <c r="A162" s="22" t="s">
        <v>333</v>
      </c>
      <c r="B162" t="s">
        <v>320</v>
      </c>
      <c r="C162" t="s">
        <v>330</v>
      </c>
    </row>
    <row r="163" spans="1:3" x14ac:dyDescent="0.35">
      <c r="A163" s="22" t="s">
        <v>334</v>
      </c>
      <c r="B163" t="s">
        <v>320</v>
      </c>
      <c r="C163" t="s">
        <v>330</v>
      </c>
    </row>
    <row r="164" spans="1:3" x14ac:dyDescent="0.35">
      <c r="A164" s="22" t="s">
        <v>335</v>
      </c>
      <c r="B164" t="s">
        <v>336</v>
      </c>
      <c r="C164" t="s">
        <v>337</v>
      </c>
    </row>
    <row r="165" spans="1:3" x14ac:dyDescent="0.35">
      <c r="A165" s="22" t="s">
        <v>338</v>
      </c>
      <c r="B165" t="s">
        <v>336</v>
      </c>
      <c r="C165" t="s">
        <v>337</v>
      </c>
    </row>
    <row r="166" spans="1:3" x14ac:dyDescent="0.35">
      <c r="A166" s="22" t="s">
        <v>339</v>
      </c>
      <c r="B166" t="s">
        <v>336</v>
      </c>
      <c r="C166" t="s">
        <v>337</v>
      </c>
    </row>
    <row r="167" spans="1:3" x14ac:dyDescent="0.35">
      <c r="A167" s="22" t="s">
        <v>340</v>
      </c>
      <c r="B167" t="s">
        <v>320</v>
      </c>
      <c r="C167" t="s">
        <v>321</v>
      </c>
    </row>
    <row r="168" spans="1:3" x14ac:dyDescent="0.35">
      <c r="A168" s="22" t="s">
        <v>341</v>
      </c>
      <c r="B168" t="s">
        <v>320</v>
      </c>
      <c r="C168" t="s">
        <v>342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4A148C"/>
  </sheetPr>
  <dimension ref="A1:F98"/>
  <sheetViews>
    <sheetView showGridLines="0" topLeftCell="A16" workbookViewId="0">
      <selection activeCell="I13" sqref="I13"/>
    </sheetView>
  </sheetViews>
  <sheetFormatPr defaultRowHeight="14.5" x14ac:dyDescent="0.35"/>
  <cols>
    <col min="1" max="1" width="5.36328125" style="11" bestFit="1" customWidth="1"/>
    <col min="2" max="2" width="9.1796875" bestFit="1" customWidth="1"/>
    <col min="3" max="3" width="9.453125" bestFit="1" customWidth="1"/>
    <col min="4" max="4" width="9.90625" bestFit="1" customWidth="1"/>
    <col min="5" max="5" width="10.1796875" bestFit="1" customWidth="1"/>
    <col min="6" max="6" width="15.6328125" bestFit="1" customWidth="1"/>
  </cols>
  <sheetData>
    <row r="1" spans="1:6" x14ac:dyDescent="0.35">
      <c r="A1" s="11" t="s">
        <v>80</v>
      </c>
      <c r="B1" t="s">
        <v>85</v>
      </c>
      <c r="C1" t="s">
        <v>86</v>
      </c>
      <c r="D1" t="s">
        <v>87</v>
      </c>
      <c r="E1" t="s">
        <v>88</v>
      </c>
      <c r="F1" t="s">
        <v>81</v>
      </c>
    </row>
    <row r="2" spans="1:6" x14ac:dyDescent="0.35">
      <c r="A2" s="11">
        <v>0.66666666666666663</v>
      </c>
      <c r="B2">
        <v>162.1</v>
      </c>
      <c r="C2">
        <v>-23.7</v>
      </c>
      <c r="D2">
        <v>304.5</v>
      </c>
      <c r="E2">
        <v>14.4</v>
      </c>
      <c r="F2" t="s">
        <v>89</v>
      </c>
    </row>
    <row r="3" spans="1:6" x14ac:dyDescent="0.35">
      <c r="A3" s="11">
        <v>0.67708333333333337</v>
      </c>
      <c r="B3">
        <v>158.69999999999999</v>
      </c>
      <c r="C3">
        <v>-22.6</v>
      </c>
      <c r="D3">
        <v>302</v>
      </c>
      <c r="E3">
        <v>11.8</v>
      </c>
      <c r="F3" t="s">
        <v>89</v>
      </c>
    </row>
    <row r="4" spans="1:6" x14ac:dyDescent="0.35">
      <c r="A4" s="11">
        <v>0.6875</v>
      </c>
      <c r="B4">
        <v>155.4</v>
      </c>
      <c r="C4">
        <v>-21.4</v>
      </c>
      <c r="D4">
        <v>299.5</v>
      </c>
      <c r="E4">
        <v>9.1999999999999993</v>
      </c>
      <c r="F4" t="s">
        <v>89</v>
      </c>
    </row>
    <row r="5" spans="1:6" x14ac:dyDescent="0.35">
      <c r="A5" s="11">
        <v>0.69791666666666663</v>
      </c>
      <c r="B5">
        <v>152.19999999999999</v>
      </c>
      <c r="C5">
        <v>-20.100000000000001</v>
      </c>
      <c r="D5">
        <v>297.2</v>
      </c>
      <c r="E5">
        <v>6.5</v>
      </c>
      <c r="F5" t="s">
        <v>89</v>
      </c>
    </row>
    <row r="6" spans="1:6" x14ac:dyDescent="0.35">
      <c r="A6" s="11">
        <v>0.70833333333333337</v>
      </c>
      <c r="B6">
        <v>149.1</v>
      </c>
      <c r="C6">
        <v>-18.600000000000001</v>
      </c>
      <c r="D6">
        <v>294.89999999999998</v>
      </c>
      <c r="E6">
        <v>3.7</v>
      </c>
      <c r="F6" t="s">
        <v>89</v>
      </c>
    </row>
    <row r="7" spans="1:6" x14ac:dyDescent="0.35">
      <c r="A7" s="11">
        <v>0.71875</v>
      </c>
      <c r="B7">
        <v>146.1</v>
      </c>
      <c r="C7">
        <v>-16.899999999999999</v>
      </c>
      <c r="D7">
        <v>292.7</v>
      </c>
      <c r="E7">
        <v>0.9</v>
      </c>
      <c r="F7" t="s">
        <v>89</v>
      </c>
    </row>
    <row r="8" spans="1:6" x14ac:dyDescent="0.35">
      <c r="A8" s="11">
        <v>0.72916666666666663</v>
      </c>
      <c r="B8">
        <v>143.30000000000001</v>
      </c>
      <c r="C8">
        <v>-15.1</v>
      </c>
      <c r="D8">
        <v>290.60000000000002</v>
      </c>
      <c r="E8">
        <v>-1.9</v>
      </c>
      <c r="F8" t="s">
        <v>89</v>
      </c>
    </row>
    <row r="9" spans="1:6" x14ac:dyDescent="0.35">
      <c r="A9" s="11">
        <v>0.73958333333333337</v>
      </c>
      <c r="B9">
        <v>140.5</v>
      </c>
      <c r="C9">
        <v>-13.2</v>
      </c>
      <c r="D9">
        <v>288.5</v>
      </c>
      <c r="E9">
        <v>-4.8</v>
      </c>
      <c r="F9" t="s">
        <v>89</v>
      </c>
    </row>
    <row r="10" spans="1:6" x14ac:dyDescent="0.35">
      <c r="A10" s="11">
        <v>0.75</v>
      </c>
      <c r="B10">
        <v>137.80000000000001</v>
      </c>
      <c r="C10">
        <v>-11.2</v>
      </c>
      <c r="D10">
        <v>286.5</v>
      </c>
      <c r="E10">
        <v>-7.8</v>
      </c>
      <c r="F10" t="s">
        <v>89</v>
      </c>
    </row>
    <row r="11" spans="1:6" x14ac:dyDescent="0.35">
      <c r="A11" s="11">
        <v>0.76041666666666663</v>
      </c>
      <c r="B11">
        <v>135.30000000000001</v>
      </c>
      <c r="C11">
        <v>-9.1</v>
      </c>
      <c r="D11">
        <v>284.39999999999998</v>
      </c>
      <c r="E11">
        <v>-10.7</v>
      </c>
      <c r="F11" t="s">
        <v>89</v>
      </c>
    </row>
    <row r="12" spans="1:6" x14ac:dyDescent="0.35">
      <c r="A12" s="11">
        <v>0.77083333333333337</v>
      </c>
      <c r="B12">
        <v>132.80000000000001</v>
      </c>
      <c r="C12">
        <v>-6.9</v>
      </c>
      <c r="D12">
        <v>282.5</v>
      </c>
      <c r="E12">
        <v>-13.7</v>
      </c>
      <c r="F12" t="s">
        <v>89</v>
      </c>
    </row>
    <row r="13" spans="1:6" x14ac:dyDescent="0.35">
      <c r="A13" s="11">
        <v>0.78125</v>
      </c>
      <c r="B13">
        <v>130.5</v>
      </c>
      <c r="C13">
        <v>-4.5999999999999996</v>
      </c>
      <c r="D13">
        <v>280.5</v>
      </c>
      <c r="E13">
        <v>-16.7</v>
      </c>
      <c r="F13" t="s">
        <v>89</v>
      </c>
    </row>
    <row r="14" spans="1:6" x14ac:dyDescent="0.35">
      <c r="A14" s="11">
        <v>0.79166666666666663</v>
      </c>
      <c r="B14">
        <v>128.19999999999999</v>
      </c>
      <c r="C14">
        <v>-2.2000000000000002</v>
      </c>
      <c r="D14">
        <v>278.5</v>
      </c>
      <c r="E14">
        <v>-19.8</v>
      </c>
      <c r="F14" t="s">
        <v>89</v>
      </c>
    </row>
    <row r="15" spans="1:6" x14ac:dyDescent="0.35">
      <c r="A15" s="11">
        <v>0.80208333333333337</v>
      </c>
      <c r="B15">
        <v>126</v>
      </c>
      <c r="C15">
        <v>0.3</v>
      </c>
      <c r="D15">
        <v>276.5</v>
      </c>
      <c r="E15">
        <v>-22.8</v>
      </c>
      <c r="F15" t="s">
        <v>90</v>
      </c>
    </row>
    <row r="16" spans="1:6" x14ac:dyDescent="0.35">
      <c r="A16" s="11">
        <v>0.8125</v>
      </c>
      <c r="B16">
        <v>123.9</v>
      </c>
      <c r="C16">
        <v>2.8</v>
      </c>
      <c r="D16">
        <v>274.5</v>
      </c>
      <c r="E16">
        <v>-25.9</v>
      </c>
      <c r="F16" t="s">
        <v>90</v>
      </c>
    </row>
    <row r="17" spans="1:6" x14ac:dyDescent="0.35">
      <c r="A17" s="11">
        <v>0.82291666666666663</v>
      </c>
      <c r="B17">
        <v>121.9</v>
      </c>
      <c r="C17">
        <v>5.4</v>
      </c>
      <c r="D17">
        <v>272.5</v>
      </c>
      <c r="E17">
        <v>-29</v>
      </c>
      <c r="F17" t="s">
        <v>90</v>
      </c>
    </row>
    <row r="18" spans="1:6" x14ac:dyDescent="0.35">
      <c r="A18" s="11">
        <v>0.83333333333333337</v>
      </c>
      <c r="B18">
        <v>119.9</v>
      </c>
      <c r="C18">
        <v>8</v>
      </c>
      <c r="D18">
        <v>270.39999999999998</v>
      </c>
      <c r="E18">
        <v>-32</v>
      </c>
      <c r="F18" t="s">
        <v>90</v>
      </c>
    </row>
    <row r="19" spans="1:6" x14ac:dyDescent="0.35">
      <c r="A19" s="11">
        <v>0.84375</v>
      </c>
      <c r="B19">
        <v>118</v>
      </c>
      <c r="C19">
        <v>10.7</v>
      </c>
      <c r="D19">
        <v>268.2</v>
      </c>
      <c r="E19">
        <v>-35.1</v>
      </c>
      <c r="F19" t="s">
        <v>90</v>
      </c>
    </row>
    <row r="20" spans="1:6" x14ac:dyDescent="0.35">
      <c r="A20" s="11">
        <v>0.85416666666666663</v>
      </c>
      <c r="B20">
        <v>116.2</v>
      </c>
      <c r="C20">
        <v>13.5</v>
      </c>
      <c r="D20">
        <v>265.89999999999998</v>
      </c>
      <c r="E20">
        <v>-38.200000000000003</v>
      </c>
      <c r="F20" t="s">
        <v>90</v>
      </c>
    </row>
    <row r="21" spans="1:6" x14ac:dyDescent="0.35">
      <c r="A21" s="11">
        <v>0.86458333333333337</v>
      </c>
      <c r="B21">
        <v>114.4</v>
      </c>
      <c r="C21">
        <v>16.3</v>
      </c>
      <c r="D21">
        <v>263.5</v>
      </c>
      <c r="E21">
        <v>-41.2</v>
      </c>
      <c r="F21" t="s">
        <v>90</v>
      </c>
    </row>
    <row r="22" spans="1:6" x14ac:dyDescent="0.35">
      <c r="A22" s="11">
        <v>0.875</v>
      </c>
      <c r="B22">
        <v>112.6</v>
      </c>
      <c r="C22">
        <v>19.100000000000001</v>
      </c>
      <c r="D22">
        <v>261</v>
      </c>
      <c r="E22">
        <v>-44.3</v>
      </c>
      <c r="F22" t="s">
        <v>90</v>
      </c>
    </row>
    <row r="23" spans="1:6" x14ac:dyDescent="0.35">
      <c r="A23" s="11">
        <v>0.88541666666666663</v>
      </c>
      <c r="B23">
        <v>110.9</v>
      </c>
      <c r="C23">
        <v>22</v>
      </c>
      <c r="D23">
        <v>258.3</v>
      </c>
      <c r="E23">
        <v>-47.3</v>
      </c>
      <c r="F23" t="s">
        <v>90</v>
      </c>
    </row>
    <row r="24" spans="1:6" x14ac:dyDescent="0.35">
      <c r="A24" s="11">
        <v>0.89583333333333337</v>
      </c>
      <c r="B24">
        <v>109.2</v>
      </c>
      <c r="C24">
        <v>24.9</v>
      </c>
      <c r="D24">
        <v>255.4</v>
      </c>
      <c r="E24">
        <v>-50.3</v>
      </c>
      <c r="F24" t="s">
        <v>90</v>
      </c>
    </row>
    <row r="25" spans="1:6" x14ac:dyDescent="0.35">
      <c r="A25" s="11">
        <v>0.90625</v>
      </c>
      <c r="B25">
        <v>107.5</v>
      </c>
      <c r="C25">
        <v>27.8</v>
      </c>
      <c r="D25">
        <v>252.1</v>
      </c>
      <c r="E25">
        <v>-53.3</v>
      </c>
      <c r="F25" t="s">
        <v>90</v>
      </c>
    </row>
    <row r="26" spans="1:6" x14ac:dyDescent="0.35">
      <c r="A26" s="11">
        <v>0.91666666666666663</v>
      </c>
      <c r="B26">
        <v>105.8</v>
      </c>
      <c r="C26">
        <v>30.7</v>
      </c>
      <c r="D26">
        <v>248.5</v>
      </c>
      <c r="E26">
        <v>-56.2</v>
      </c>
      <c r="F26" t="s">
        <v>90</v>
      </c>
    </row>
    <row r="27" spans="1:6" x14ac:dyDescent="0.35">
      <c r="A27" s="11">
        <v>0.92708333333333337</v>
      </c>
      <c r="B27">
        <v>104.2</v>
      </c>
      <c r="C27">
        <v>33.700000000000003</v>
      </c>
      <c r="D27">
        <v>244.4</v>
      </c>
      <c r="E27">
        <v>-59</v>
      </c>
      <c r="F27" t="s">
        <v>90</v>
      </c>
    </row>
    <row r="28" spans="1:6" x14ac:dyDescent="0.35">
      <c r="A28" s="11">
        <v>0.9375</v>
      </c>
      <c r="B28">
        <v>102.5</v>
      </c>
      <c r="C28">
        <v>36.700000000000003</v>
      </c>
      <c r="D28">
        <v>239.8</v>
      </c>
      <c r="E28">
        <v>-61.7</v>
      </c>
      <c r="F28" t="s">
        <v>90</v>
      </c>
    </row>
    <row r="29" spans="1:6" x14ac:dyDescent="0.35">
      <c r="A29" s="11">
        <v>0.94791666666666663</v>
      </c>
      <c r="B29">
        <v>100.9</v>
      </c>
      <c r="C29">
        <v>39.700000000000003</v>
      </c>
      <c r="D29">
        <v>234.3</v>
      </c>
      <c r="E29">
        <v>-64.3</v>
      </c>
      <c r="F29" t="s">
        <v>90</v>
      </c>
    </row>
    <row r="30" spans="1:6" x14ac:dyDescent="0.35">
      <c r="A30" s="11">
        <v>0.95833333333333337</v>
      </c>
      <c r="B30">
        <v>99.2</v>
      </c>
      <c r="C30">
        <v>42.8</v>
      </c>
      <c r="D30">
        <v>228</v>
      </c>
      <c r="E30">
        <v>-66.7</v>
      </c>
      <c r="F30" t="s">
        <v>90</v>
      </c>
    </row>
    <row r="31" spans="1:6" x14ac:dyDescent="0.35">
      <c r="A31" s="11">
        <v>0.96875</v>
      </c>
      <c r="B31">
        <v>97.5</v>
      </c>
      <c r="C31">
        <v>45.8</v>
      </c>
      <c r="D31">
        <v>220.4</v>
      </c>
      <c r="E31">
        <v>-68.8</v>
      </c>
      <c r="F31" t="s">
        <v>90</v>
      </c>
    </row>
    <row r="32" spans="1:6" x14ac:dyDescent="0.35">
      <c r="A32" s="11">
        <v>0.97916666666666663</v>
      </c>
      <c r="B32">
        <v>95.7</v>
      </c>
      <c r="C32">
        <v>48.9</v>
      </c>
      <c r="D32">
        <v>211.5</v>
      </c>
      <c r="E32">
        <v>-70.599999999999994</v>
      </c>
      <c r="F32" t="s">
        <v>90</v>
      </c>
    </row>
    <row r="33" spans="1:6" x14ac:dyDescent="0.35">
      <c r="A33" s="11">
        <v>0.98958333333333337</v>
      </c>
      <c r="B33">
        <v>93.9</v>
      </c>
      <c r="C33">
        <v>51.9</v>
      </c>
      <c r="D33">
        <v>201.2</v>
      </c>
      <c r="E33">
        <v>-72</v>
      </c>
      <c r="F33" t="s">
        <v>90</v>
      </c>
    </row>
    <row r="34" spans="1:6" x14ac:dyDescent="0.35">
      <c r="A34" s="11">
        <v>0</v>
      </c>
      <c r="B34">
        <v>91.9</v>
      </c>
      <c r="C34">
        <v>55</v>
      </c>
      <c r="D34">
        <v>189.7</v>
      </c>
      <c r="E34">
        <v>-72.8</v>
      </c>
      <c r="F34" t="s">
        <v>90</v>
      </c>
    </row>
    <row r="35" spans="1:6" x14ac:dyDescent="0.35">
      <c r="A35" s="11">
        <v>1.0416666666666666E-2</v>
      </c>
      <c r="B35">
        <v>89.8</v>
      </c>
      <c r="C35">
        <v>58.1</v>
      </c>
      <c r="D35">
        <v>177.5</v>
      </c>
      <c r="E35">
        <v>-73</v>
      </c>
      <c r="F35" t="s">
        <v>90</v>
      </c>
    </row>
    <row r="36" spans="1:6" x14ac:dyDescent="0.35">
      <c r="A36" s="11">
        <v>2.0833333333333332E-2</v>
      </c>
      <c r="B36">
        <v>87.6</v>
      </c>
      <c r="C36">
        <v>61.2</v>
      </c>
      <c r="D36">
        <v>165.5</v>
      </c>
      <c r="E36">
        <v>-72.599999999999994</v>
      </c>
      <c r="F36" t="s">
        <v>90</v>
      </c>
    </row>
    <row r="37" spans="1:6" x14ac:dyDescent="0.35">
      <c r="A37" s="11">
        <v>3.125E-2</v>
      </c>
      <c r="B37">
        <v>85</v>
      </c>
      <c r="C37">
        <v>64.3</v>
      </c>
      <c r="D37">
        <v>154.5</v>
      </c>
      <c r="E37">
        <v>-71.5</v>
      </c>
      <c r="F37" t="s">
        <v>90</v>
      </c>
    </row>
    <row r="38" spans="1:6" x14ac:dyDescent="0.35">
      <c r="A38" s="11">
        <v>4.1666666666666664E-2</v>
      </c>
      <c r="B38">
        <v>82.1</v>
      </c>
      <c r="C38">
        <v>67.3</v>
      </c>
      <c r="D38">
        <v>144.69999999999999</v>
      </c>
      <c r="E38">
        <v>-70</v>
      </c>
      <c r="F38" t="s">
        <v>90</v>
      </c>
    </row>
    <row r="39" spans="1:6" x14ac:dyDescent="0.35">
      <c r="A39" s="11">
        <v>5.2083333333333336E-2</v>
      </c>
      <c r="B39">
        <v>78.599999999999994</v>
      </c>
      <c r="C39">
        <v>70.400000000000006</v>
      </c>
      <c r="D39">
        <v>136.4</v>
      </c>
      <c r="E39">
        <v>-68</v>
      </c>
      <c r="F39" t="s">
        <v>90</v>
      </c>
    </row>
    <row r="40" spans="1:6" x14ac:dyDescent="0.35">
      <c r="A40" s="11">
        <v>6.25E-2</v>
      </c>
      <c r="B40">
        <v>74.3</v>
      </c>
      <c r="C40">
        <v>73.400000000000006</v>
      </c>
      <c r="D40">
        <v>129.30000000000001</v>
      </c>
      <c r="E40">
        <v>-65.8</v>
      </c>
      <c r="F40" t="s">
        <v>90</v>
      </c>
    </row>
    <row r="41" spans="1:6" x14ac:dyDescent="0.35">
      <c r="A41" s="11">
        <v>7.2916666666666671E-2</v>
      </c>
      <c r="B41">
        <v>68.5</v>
      </c>
      <c r="C41">
        <v>76.3</v>
      </c>
      <c r="D41">
        <v>123.3</v>
      </c>
      <c r="E41">
        <v>-63.3</v>
      </c>
      <c r="F41" t="s">
        <v>90</v>
      </c>
    </row>
    <row r="42" spans="1:6" x14ac:dyDescent="0.35">
      <c r="A42" s="11">
        <v>8.3333333333333329E-2</v>
      </c>
      <c r="B42">
        <v>60.2</v>
      </c>
      <c r="C42">
        <v>79.099999999999994</v>
      </c>
      <c r="D42">
        <v>118.2</v>
      </c>
      <c r="E42">
        <v>-60.7</v>
      </c>
      <c r="F42" t="s">
        <v>90</v>
      </c>
    </row>
    <row r="43" spans="1:6" x14ac:dyDescent="0.35">
      <c r="A43" s="11">
        <v>9.375E-2</v>
      </c>
      <c r="B43">
        <v>47.4</v>
      </c>
      <c r="C43">
        <v>81.599999999999994</v>
      </c>
      <c r="D43">
        <v>113.8</v>
      </c>
      <c r="E43">
        <v>-57.9</v>
      </c>
      <c r="F43" t="s">
        <v>90</v>
      </c>
    </row>
    <row r="44" spans="1:6" x14ac:dyDescent="0.35">
      <c r="A44" s="11">
        <v>0.10416666666666667</v>
      </c>
      <c r="B44">
        <v>26.4</v>
      </c>
      <c r="C44">
        <v>83.4</v>
      </c>
      <c r="D44">
        <v>109.9</v>
      </c>
      <c r="E44">
        <v>-55</v>
      </c>
      <c r="F44" t="s">
        <v>90</v>
      </c>
    </row>
    <row r="45" spans="1:6" x14ac:dyDescent="0.35">
      <c r="A45" s="11">
        <v>0.11458333333333333</v>
      </c>
      <c r="B45">
        <v>356.3</v>
      </c>
      <c r="C45">
        <v>84.1</v>
      </c>
      <c r="D45">
        <v>106.5</v>
      </c>
      <c r="E45">
        <v>-52.1</v>
      </c>
      <c r="F45" t="s">
        <v>90</v>
      </c>
    </row>
    <row r="46" spans="1:6" x14ac:dyDescent="0.35">
      <c r="A46" s="11">
        <v>0.125</v>
      </c>
      <c r="B46">
        <v>327.8</v>
      </c>
      <c r="C46">
        <v>83.1</v>
      </c>
      <c r="D46">
        <v>103.4</v>
      </c>
      <c r="E46">
        <v>-49.2</v>
      </c>
      <c r="F46" t="s">
        <v>90</v>
      </c>
    </row>
    <row r="47" spans="1:6" x14ac:dyDescent="0.35">
      <c r="A47" s="11">
        <v>0.13541666666666666</v>
      </c>
      <c r="B47">
        <v>309.10000000000002</v>
      </c>
      <c r="C47">
        <v>81</v>
      </c>
      <c r="D47">
        <v>100.5</v>
      </c>
      <c r="E47">
        <v>-46.1</v>
      </c>
      <c r="F47" t="s">
        <v>90</v>
      </c>
    </row>
    <row r="48" spans="1:6" x14ac:dyDescent="0.35">
      <c r="A48" s="11">
        <v>0.14583333333333334</v>
      </c>
      <c r="B48">
        <v>297.60000000000002</v>
      </c>
      <c r="C48">
        <v>78.400000000000006</v>
      </c>
      <c r="D48">
        <v>97.9</v>
      </c>
      <c r="E48">
        <v>-43.1</v>
      </c>
      <c r="F48" t="s">
        <v>90</v>
      </c>
    </row>
    <row r="49" spans="1:6" x14ac:dyDescent="0.35">
      <c r="A49" s="11">
        <v>0.15625</v>
      </c>
      <c r="B49">
        <v>290</v>
      </c>
      <c r="C49">
        <v>75.599999999999994</v>
      </c>
      <c r="D49">
        <v>95.4</v>
      </c>
      <c r="E49">
        <v>-40.1</v>
      </c>
      <c r="F49" t="s">
        <v>90</v>
      </c>
    </row>
    <row r="50" spans="1:6" x14ac:dyDescent="0.35">
      <c r="A50" s="11">
        <v>0.16666666666666666</v>
      </c>
      <c r="B50">
        <v>284.60000000000002</v>
      </c>
      <c r="C50">
        <v>72.7</v>
      </c>
      <c r="D50">
        <v>93.1</v>
      </c>
      <c r="E50">
        <v>-37</v>
      </c>
      <c r="F50" t="s">
        <v>90</v>
      </c>
    </row>
    <row r="51" spans="1:6" x14ac:dyDescent="0.35">
      <c r="A51" s="11">
        <v>0.17708333333333334</v>
      </c>
      <c r="B51">
        <v>280.5</v>
      </c>
      <c r="C51">
        <v>69.7</v>
      </c>
      <c r="D51">
        <v>90.8</v>
      </c>
      <c r="E51">
        <v>-33.9</v>
      </c>
      <c r="F51" t="s">
        <v>90</v>
      </c>
    </row>
    <row r="52" spans="1:6" x14ac:dyDescent="0.35">
      <c r="A52" s="11">
        <v>0.1875</v>
      </c>
      <c r="B52">
        <v>277.2</v>
      </c>
      <c r="C52">
        <v>66.599999999999994</v>
      </c>
      <c r="D52">
        <v>88.7</v>
      </c>
      <c r="E52">
        <v>-30.9</v>
      </c>
      <c r="F52" t="s">
        <v>90</v>
      </c>
    </row>
    <row r="53" spans="1:6" x14ac:dyDescent="0.35">
      <c r="A53" s="11">
        <v>0.19791666666666666</v>
      </c>
      <c r="B53">
        <v>274.3</v>
      </c>
      <c r="C53">
        <v>63.6</v>
      </c>
      <c r="D53">
        <v>86.6</v>
      </c>
      <c r="E53">
        <v>-27.8</v>
      </c>
      <c r="F53" t="s">
        <v>90</v>
      </c>
    </row>
    <row r="54" spans="1:6" x14ac:dyDescent="0.35">
      <c r="A54" s="11">
        <v>0.20833333333333334</v>
      </c>
      <c r="B54">
        <v>271.89999999999998</v>
      </c>
      <c r="C54">
        <v>60.5</v>
      </c>
      <c r="D54">
        <v>84.6</v>
      </c>
      <c r="E54">
        <v>-24.7</v>
      </c>
      <c r="F54" t="s">
        <v>90</v>
      </c>
    </row>
    <row r="55" spans="1:6" x14ac:dyDescent="0.35">
      <c r="A55" s="11">
        <v>0.21875</v>
      </c>
      <c r="B55">
        <v>269.7</v>
      </c>
      <c r="C55">
        <v>57.4</v>
      </c>
      <c r="D55">
        <v>82.6</v>
      </c>
      <c r="E55">
        <v>-21.7</v>
      </c>
      <c r="F55" t="s">
        <v>90</v>
      </c>
    </row>
    <row r="56" spans="1:6" x14ac:dyDescent="0.35">
      <c r="A56" s="11">
        <v>0.22916666666666666</v>
      </c>
      <c r="B56">
        <v>267.60000000000002</v>
      </c>
      <c r="C56">
        <v>54.3</v>
      </c>
      <c r="D56">
        <v>80.599999999999994</v>
      </c>
      <c r="E56">
        <v>-18.600000000000001</v>
      </c>
      <c r="F56" t="s">
        <v>90</v>
      </c>
    </row>
    <row r="57" spans="1:6" x14ac:dyDescent="0.35">
      <c r="A57" s="11">
        <v>0.23958333333333334</v>
      </c>
      <c r="B57">
        <v>265.7</v>
      </c>
      <c r="C57">
        <v>51.2</v>
      </c>
      <c r="D57">
        <v>78.599999999999994</v>
      </c>
      <c r="E57">
        <v>-15.6</v>
      </c>
      <c r="F57" t="s">
        <v>90</v>
      </c>
    </row>
    <row r="58" spans="1:6" x14ac:dyDescent="0.35">
      <c r="A58" s="11">
        <v>0.25</v>
      </c>
      <c r="B58">
        <v>263.89999999999998</v>
      </c>
      <c r="C58">
        <v>48.2</v>
      </c>
      <c r="D58">
        <v>76.599999999999994</v>
      </c>
      <c r="E58">
        <v>-12.6</v>
      </c>
      <c r="F58" t="s">
        <v>90</v>
      </c>
    </row>
    <row r="59" spans="1:6" x14ac:dyDescent="0.35">
      <c r="A59" s="11">
        <v>0.26041666666666669</v>
      </c>
      <c r="B59">
        <v>262.10000000000002</v>
      </c>
      <c r="C59">
        <v>45.1</v>
      </c>
      <c r="D59">
        <v>74.599999999999994</v>
      </c>
      <c r="E59">
        <v>-9.6</v>
      </c>
      <c r="F59" t="s">
        <v>90</v>
      </c>
    </row>
    <row r="60" spans="1:6" x14ac:dyDescent="0.35">
      <c r="A60" s="11">
        <v>0.27083333333333331</v>
      </c>
      <c r="B60">
        <v>260.39999999999998</v>
      </c>
      <c r="C60">
        <v>42.1</v>
      </c>
      <c r="D60">
        <v>72.599999999999994</v>
      </c>
      <c r="E60">
        <v>-6.7</v>
      </c>
      <c r="F60" t="s">
        <v>90</v>
      </c>
    </row>
    <row r="61" spans="1:6" x14ac:dyDescent="0.35">
      <c r="A61" s="11">
        <v>0.28125</v>
      </c>
      <c r="B61">
        <v>258.7</v>
      </c>
      <c r="C61">
        <v>39</v>
      </c>
      <c r="D61">
        <v>70.599999999999994</v>
      </c>
      <c r="E61">
        <v>-3.8</v>
      </c>
      <c r="F61" t="s">
        <v>90</v>
      </c>
    </row>
    <row r="62" spans="1:6" x14ac:dyDescent="0.35">
      <c r="A62" s="11">
        <v>0.29166666666666669</v>
      </c>
      <c r="B62">
        <v>257.10000000000002</v>
      </c>
      <c r="C62">
        <v>36</v>
      </c>
      <c r="D62">
        <v>68.400000000000006</v>
      </c>
      <c r="E62">
        <v>-0.9</v>
      </c>
      <c r="F62" t="s">
        <v>90</v>
      </c>
    </row>
    <row r="63" spans="1:6" x14ac:dyDescent="0.35">
      <c r="A63" s="11">
        <v>0.30208333333333331</v>
      </c>
      <c r="B63">
        <v>255.4</v>
      </c>
      <c r="C63">
        <v>33</v>
      </c>
      <c r="D63">
        <v>66.3</v>
      </c>
      <c r="E63">
        <v>2</v>
      </c>
      <c r="F63" t="s">
        <v>90</v>
      </c>
    </row>
    <row r="64" spans="1:6" x14ac:dyDescent="0.35">
      <c r="A64" s="11">
        <v>0.3125</v>
      </c>
      <c r="B64">
        <v>253.8</v>
      </c>
      <c r="C64">
        <v>30</v>
      </c>
      <c r="D64">
        <v>64.099999999999994</v>
      </c>
      <c r="E64">
        <v>4.7</v>
      </c>
      <c r="F64" t="s">
        <v>90</v>
      </c>
    </row>
    <row r="65" spans="1:6" x14ac:dyDescent="0.35">
      <c r="A65" s="11">
        <v>0.32291666666666669</v>
      </c>
      <c r="B65">
        <v>252.1</v>
      </c>
      <c r="C65">
        <v>27.1</v>
      </c>
      <c r="D65">
        <v>61.8</v>
      </c>
      <c r="E65">
        <v>7.5</v>
      </c>
      <c r="F65" t="s">
        <v>90</v>
      </c>
    </row>
    <row r="66" spans="1:6" x14ac:dyDescent="0.35">
      <c r="A66" s="11">
        <v>0.33333333333333331</v>
      </c>
      <c r="B66">
        <v>250.4</v>
      </c>
      <c r="C66">
        <v>24.2</v>
      </c>
      <c r="D66">
        <v>59.4</v>
      </c>
      <c r="E66">
        <v>10.199999999999999</v>
      </c>
      <c r="F66" t="s">
        <v>90</v>
      </c>
    </row>
    <row r="67" spans="1:6" x14ac:dyDescent="0.35">
      <c r="A67" s="11">
        <v>0.34375</v>
      </c>
      <c r="B67">
        <v>248.7</v>
      </c>
      <c r="C67">
        <v>21.3</v>
      </c>
      <c r="D67">
        <v>56.9</v>
      </c>
      <c r="E67">
        <v>12.8</v>
      </c>
      <c r="F67" t="s">
        <v>90</v>
      </c>
    </row>
    <row r="68" spans="1:6" x14ac:dyDescent="0.35">
      <c r="A68" s="11">
        <v>0.35416666666666669</v>
      </c>
      <c r="B68">
        <v>247</v>
      </c>
      <c r="C68">
        <v>18.399999999999999</v>
      </c>
      <c r="D68">
        <v>54.3</v>
      </c>
      <c r="E68">
        <v>15.3</v>
      </c>
      <c r="F68" t="s">
        <v>90</v>
      </c>
    </row>
    <row r="69" spans="1:6" x14ac:dyDescent="0.35">
      <c r="A69" s="11">
        <v>0.36458333333333331</v>
      </c>
      <c r="B69">
        <v>245.2</v>
      </c>
      <c r="C69">
        <v>15.6</v>
      </c>
      <c r="D69">
        <v>51.6</v>
      </c>
      <c r="E69">
        <v>17.8</v>
      </c>
      <c r="F69" t="s">
        <v>90</v>
      </c>
    </row>
    <row r="70" spans="1:6" x14ac:dyDescent="0.35">
      <c r="A70" s="11">
        <v>0.375</v>
      </c>
      <c r="B70">
        <v>243.4</v>
      </c>
      <c r="C70">
        <v>12.8</v>
      </c>
      <c r="D70">
        <v>48.8</v>
      </c>
      <c r="E70">
        <v>20.100000000000001</v>
      </c>
      <c r="F70" t="s">
        <v>90</v>
      </c>
    </row>
    <row r="71" spans="1:6" x14ac:dyDescent="0.35">
      <c r="A71" s="11">
        <v>0.38541666666666669</v>
      </c>
      <c r="B71">
        <v>241.5</v>
      </c>
      <c r="C71">
        <v>10.1</v>
      </c>
      <c r="D71">
        <v>45.8</v>
      </c>
      <c r="E71">
        <v>22.4</v>
      </c>
      <c r="F71" t="s">
        <v>90</v>
      </c>
    </row>
    <row r="72" spans="1:6" x14ac:dyDescent="0.35">
      <c r="A72" s="11">
        <v>0.39583333333333331</v>
      </c>
      <c r="B72">
        <v>239.6</v>
      </c>
      <c r="C72">
        <v>7.4</v>
      </c>
      <c r="D72">
        <v>42.7</v>
      </c>
      <c r="E72">
        <v>24.5</v>
      </c>
      <c r="F72" t="s">
        <v>90</v>
      </c>
    </row>
    <row r="73" spans="1:6" x14ac:dyDescent="0.35">
      <c r="A73" s="11">
        <v>0.40625</v>
      </c>
      <c r="B73">
        <v>237.6</v>
      </c>
      <c r="C73">
        <v>4.8</v>
      </c>
      <c r="D73">
        <v>39.5</v>
      </c>
      <c r="E73">
        <v>26.5</v>
      </c>
      <c r="F73" t="s">
        <v>90</v>
      </c>
    </row>
    <row r="74" spans="1:6" x14ac:dyDescent="0.35">
      <c r="A74" s="11">
        <v>0.41666666666666669</v>
      </c>
      <c r="B74">
        <v>235.6</v>
      </c>
      <c r="C74">
        <v>2.2000000000000002</v>
      </c>
      <c r="D74">
        <v>36.1</v>
      </c>
      <c r="E74">
        <v>28.4</v>
      </c>
      <c r="F74" t="s">
        <v>90</v>
      </c>
    </row>
    <row r="75" spans="1:6" x14ac:dyDescent="0.35">
      <c r="A75" s="11">
        <v>0.42708333333333331</v>
      </c>
      <c r="B75">
        <v>233.5</v>
      </c>
      <c r="C75">
        <v>-0.3</v>
      </c>
      <c r="D75">
        <v>32.5</v>
      </c>
      <c r="E75">
        <v>30.1</v>
      </c>
      <c r="F75" t="s">
        <v>89</v>
      </c>
    </row>
    <row r="76" spans="1:6" x14ac:dyDescent="0.35">
      <c r="A76" s="11">
        <v>0.4375</v>
      </c>
      <c r="B76">
        <v>231.3</v>
      </c>
      <c r="C76">
        <v>-2.7</v>
      </c>
      <c r="D76">
        <v>28.7</v>
      </c>
      <c r="E76">
        <v>31.7</v>
      </c>
      <c r="F76" t="s">
        <v>89</v>
      </c>
    </row>
    <row r="77" spans="1:6" x14ac:dyDescent="0.35">
      <c r="A77" s="11">
        <v>0.44791666666666669</v>
      </c>
      <c r="B77">
        <v>229</v>
      </c>
      <c r="C77">
        <v>-5.0999999999999996</v>
      </c>
      <c r="D77">
        <v>24.9</v>
      </c>
      <c r="E77">
        <v>33.1</v>
      </c>
      <c r="F77" t="s">
        <v>89</v>
      </c>
    </row>
    <row r="78" spans="1:6" x14ac:dyDescent="0.35">
      <c r="A78" s="11">
        <v>0.45833333333333331</v>
      </c>
      <c r="B78">
        <v>226.6</v>
      </c>
      <c r="C78">
        <v>-7.4</v>
      </c>
      <c r="D78">
        <v>20.8</v>
      </c>
      <c r="E78">
        <v>34.299999999999997</v>
      </c>
      <c r="F78" t="s">
        <v>89</v>
      </c>
    </row>
    <row r="79" spans="1:6" x14ac:dyDescent="0.35">
      <c r="A79" s="11">
        <v>0.46875</v>
      </c>
      <c r="B79">
        <v>224.1</v>
      </c>
      <c r="C79">
        <v>-9.6</v>
      </c>
      <c r="D79">
        <v>16.600000000000001</v>
      </c>
      <c r="E79">
        <v>35.299999999999997</v>
      </c>
      <c r="F79" t="s">
        <v>89</v>
      </c>
    </row>
    <row r="80" spans="1:6" x14ac:dyDescent="0.35">
      <c r="A80" s="11">
        <v>0.47916666666666669</v>
      </c>
      <c r="B80">
        <v>221.5</v>
      </c>
      <c r="C80">
        <v>-11.7</v>
      </c>
      <c r="D80">
        <v>12.4</v>
      </c>
      <c r="E80">
        <v>36</v>
      </c>
      <c r="F80" t="s">
        <v>89</v>
      </c>
    </row>
    <row r="81" spans="1:6" x14ac:dyDescent="0.35">
      <c r="A81" s="11">
        <v>0.48958333333333331</v>
      </c>
      <c r="B81">
        <v>218.9</v>
      </c>
      <c r="C81">
        <v>-13.7</v>
      </c>
      <c r="D81">
        <v>8</v>
      </c>
      <c r="E81">
        <v>36.6</v>
      </c>
      <c r="F81" t="s">
        <v>89</v>
      </c>
    </row>
    <row r="82" spans="1:6" x14ac:dyDescent="0.35">
      <c r="A82" s="11">
        <v>0.5</v>
      </c>
      <c r="B82">
        <v>216.1</v>
      </c>
      <c r="C82">
        <v>-15.6</v>
      </c>
      <c r="D82">
        <v>3.6</v>
      </c>
      <c r="E82">
        <v>36.9</v>
      </c>
      <c r="F82" t="s">
        <v>89</v>
      </c>
    </row>
    <row r="83" spans="1:6" x14ac:dyDescent="0.35">
      <c r="A83" s="11">
        <v>0.51041666666666663</v>
      </c>
      <c r="B83">
        <v>213.2</v>
      </c>
      <c r="C83">
        <v>-17.3</v>
      </c>
      <c r="D83">
        <v>359.1</v>
      </c>
      <c r="E83">
        <v>37</v>
      </c>
      <c r="F83" t="s">
        <v>89</v>
      </c>
    </row>
    <row r="84" spans="1:6" x14ac:dyDescent="0.35">
      <c r="A84" s="11">
        <v>0.52083333333333337</v>
      </c>
      <c r="B84">
        <v>210.2</v>
      </c>
      <c r="C84">
        <v>-18.899999999999999</v>
      </c>
      <c r="D84">
        <v>354.7</v>
      </c>
      <c r="E84">
        <v>36.799999999999997</v>
      </c>
      <c r="F84" t="s">
        <v>89</v>
      </c>
    </row>
    <row r="85" spans="1:6" x14ac:dyDescent="0.35">
      <c r="A85" s="11">
        <v>0.53125</v>
      </c>
      <c r="B85">
        <v>207</v>
      </c>
      <c r="C85">
        <v>-20.399999999999999</v>
      </c>
      <c r="D85">
        <v>350.2</v>
      </c>
      <c r="E85">
        <v>36.4</v>
      </c>
      <c r="F85" t="s">
        <v>89</v>
      </c>
    </row>
    <row r="86" spans="1:6" x14ac:dyDescent="0.35">
      <c r="A86" s="11">
        <v>0.54166666666666663</v>
      </c>
      <c r="B86">
        <v>203.8</v>
      </c>
      <c r="C86">
        <v>-21.7</v>
      </c>
      <c r="D86">
        <v>345.9</v>
      </c>
      <c r="E86">
        <v>35.700000000000003</v>
      </c>
      <c r="F86" t="s">
        <v>89</v>
      </c>
    </row>
    <row r="87" spans="1:6" x14ac:dyDescent="0.35">
      <c r="A87" s="11">
        <v>0.55208333333333337</v>
      </c>
      <c r="B87">
        <v>200.5</v>
      </c>
      <c r="C87">
        <v>-22.9</v>
      </c>
      <c r="D87">
        <v>341.7</v>
      </c>
      <c r="E87">
        <v>34.9</v>
      </c>
      <c r="F87" t="s">
        <v>89</v>
      </c>
    </row>
    <row r="88" spans="1:6" x14ac:dyDescent="0.35">
      <c r="A88" s="11">
        <v>0.5625</v>
      </c>
      <c r="B88">
        <v>197.1</v>
      </c>
      <c r="C88">
        <v>-23.9</v>
      </c>
      <c r="D88">
        <v>337.5</v>
      </c>
      <c r="E88">
        <v>33.799999999999997</v>
      </c>
      <c r="F88" t="s">
        <v>89</v>
      </c>
    </row>
    <row r="89" spans="1:6" x14ac:dyDescent="0.35">
      <c r="A89" s="11">
        <v>0.57291666666666663</v>
      </c>
      <c r="B89">
        <v>193.6</v>
      </c>
      <c r="C89">
        <v>-24.7</v>
      </c>
      <c r="D89">
        <v>333.6</v>
      </c>
      <c r="E89">
        <v>32.5</v>
      </c>
      <c r="F89" t="s">
        <v>89</v>
      </c>
    </row>
    <row r="90" spans="1:6" x14ac:dyDescent="0.35">
      <c r="A90" s="11">
        <v>0.58333333333333337</v>
      </c>
      <c r="B90">
        <v>190</v>
      </c>
      <c r="C90">
        <v>-25.3</v>
      </c>
      <c r="D90">
        <v>329.7</v>
      </c>
      <c r="E90">
        <v>31.1</v>
      </c>
      <c r="F90" t="s">
        <v>89</v>
      </c>
    </row>
    <row r="91" spans="1:6" x14ac:dyDescent="0.35">
      <c r="A91" s="11">
        <v>0.59375</v>
      </c>
      <c r="B91">
        <v>186.4</v>
      </c>
      <c r="C91">
        <v>-25.8</v>
      </c>
      <c r="D91">
        <v>326.10000000000002</v>
      </c>
      <c r="E91">
        <v>29.4</v>
      </c>
      <c r="F91" t="s">
        <v>89</v>
      </c>
    </row>
    <row r="92" spans="1:6" x14ac:dyDescent="0.35">
      <c r="A92" s="11">
        <v>0.60416666666666663</v>
      </c>
      <c r="B92">
        <v>182.8</v>
      </c>
      <c r="C92">
        <v>-26</v>
      </c>
      <c r="D92">
        <v>322.60000000000002</v>
      </c>
      <c r="E92">
        <v>27.6</v>
      </c>
      <c r="F92" t="s">
        <v>89</v>
      </c>
    </row>
    <row r="93" spans="1:6" x14ac:dyDescent="0.35">
      <c r="A93" s="11">
        <v>0.61458333333333337</v>
      </c>
      <c r="B93">
        <v>179.1</v>
      </c>
      <c r="C93">
        <v>-26.1</v>
      </c>
      <c r="D93">
        <v>319.2</v>
      </c>
      <c r="E93">
        <v>25.7</v>
      </c>
      <c r="F93" t="s">
        <v>89</v>
      </c>
    </row>
    <row r="94" spans="1:6" x14ac:dyDescent="0.35">
      <c r="A94" s="11">
        <v>0.625</v>
      </c>
      <c r="B94">
        <v>175.4</v>
      </c>
      <c r="C94">
        <v>-25.9</v>
      </c>
      <c r="D94">
        <v>316</v>
      </c>
      <c r="E94">
        <v>23.6</v>
      </c>
      <c r="F94" t="s">
        <v>89</v>
      </c>
    </row>
    <row r="95" spans="1:6" x14ac:dyDescent="0.35">
      <c r="A95" s="11">
        <v>0.63541666666666663</v>
      </c>
      <c r="B95">
        <v>171.8</v>
      </c>
      <c r="C95">
        <v>-25.6</v>
      </c>
      <c r="D95">
        <v>313</v>
      </c>
      <c r="E95">
        <v>21.4</v>
      </c>
      <c r="F95" t="s">
        <v>89</v>
      </c>
    </row>
    <row r="96" spans="1:6" x14ac:dyDescent="0.35">
      <c r="A96" s="11">
        <v>0.64583333333333337</v>
      </c>
      <c r="B96">
        <v>168.2</v>
      </c>
      <c r="C96">
        <v>-25</v>
      </c>
      <c r="D96">
        <v>310.10000000000002</v>
      </c>
      <c r="E96">
        <v>19.100000000000001</v>
      </c>
      <c r="F96" t="s">
        <v>89</v>
      </c>
    </row>
    <row r="97" spans="1:6" x14ac:dyDescent="0.35">
      <c r="A97" s="11">
        <v>0.65625</v>
      </c>
      <c r="B97">
        <v>164.7</v>
      </c>
      <c r="C97">
        <v>-24.3</v>
      </c>
      <c r="D97">
        <v>307.3</v>
      </c>
      <c r="E97">
        <v>16.7</v>
      </c>
      <c r="F97" t="s">
        <v>89</v>
      </c>
    </row>
    <row r="98" spans="1:6" x14ac:dyDescent="0.35">
      <c r="A98" s="11">
        <v>0.66666666666666663</v>
      </c>
      <c r="B98">
        <v>161.19999999999999</v>
      </c>
      <c r="C98">
        <v>-23.4</v>
      </c>
      <c r="D98">
        <v>304.7</v>
      </c>
      <c r="E98">
        <v>14.2</v>
      </c>
      <c r="F98" t="s">
        <v>89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BF13-0C82-4BF4-AF93-E27AA813D943}">
  <sheetPr codeName="Sheet9"/>
  <dimension ref="A1:G37"/>
  <sheetViews>
    <sheetView workbookViewId="0">
      <selection activeCell="K28" sqref="K28"/>
    </sheetView>
  </sheetViews>
  <sheetFormatPr defaultRowHeight="14.5" x14ac:dyDescent="0.35"/>
  <cols>
    <col min="1" max="1" width="5.1796875" bestFit="1" customWidth="1"/>
    <col min="2" max="4" width="11.81640625" bestFit="1" customWidth="1"/>
    <col min="5" max="5" width="14.81640625" bestFit="1" customWidth="1"/>
    <col min="6" max="6" width="11.54296875" bestFit="1" customWidth="1"/>
    <col min="7" max="7" width="10.26953125" bestFit="1" customWidth="1"/>
  </cols>
  <sheetData>
    <row r="1" spans="1:7" x14ac:dyDescent="0.35">
      <c r="A1" s="45" t="s">
        <v>322</v>
      </c>
      <c r="B1" s="45" t="s">
        <v>323</v>
      </c>
      <c r="C1" s="45" t="s">
        <v>324</v>
      </c>
      <c r="D1" s="45" t="s">
        <v>325</v>
      </c>
      <c r="E1" s="45" t="s">
        <v>326</v>
      </c>
      <c r="F1" s="45" t="s">
        <v>327</v>
      </c>
      <c r="G1" s="45" t="s">
        <v>328</v>
      </c>
    </row>
    <row r="2" spans="1:7" x14ac:dyDescent="0.35">
      <c r="A2" s="47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>
        <v>0</v>
      </c>
    </row>
    <row r="3" spans="1:7" x14ac:dyDescent="0.35">
      <c r="A3" s="47">
        <v>0</v>
      </c>
      <c r="B3" s="47">
        <v>0</v>
      </c>
      <c r="C3" s="47">
        <v>0</v>
      </c>
      <c r="D3" s="47">
        <v>0</v>
      </c>
      <c r="E3" s="47">
        <v>0</v>
      </c>
      <c r="F3" s="47">
        <v>0</v>
      </c>
      <c r="G3">
        <v>0</v>
      </c>
    </row>
    <row r="4" spans="1:7" x14ac:dyDescent="0.35">
      <c r="A4" s="47">
        <v>0</v>
      </c>
      <c r="B4" s="47">
        <v>0</v>
      </c>
      <c r="C4" s="47">
        <v>0</v>
      </c>
      <c r="D4" s="47">
        <v>0</v>
      </c>
      <c r="E4" s="47">
        <v>0</v>
      </c>
      <c r="F4" s="47">
        <v>0</v>
      </c>
      <c r="G4">
        <v>0</v>
      </c>
    </row>
    <row r="5" spans="1:7" x14ac:dyDescent="0.35">
      <c r="A5" s="47">
        <v>0</v>
      </c>
      <c r="B5" s="47">
        <v>5.0000004200000001</v>
      </c>
      <c r="C5" s="47">
        <v>0</v>
      </c>
      <c r="D5" s="47">
        <v>0</v>
      </c>
      <c r="E5" s="47">
        <v>5.0000004200000001</v>
      </c>
      <c r="F5" s="47">
        <v>0</v>
      </c>
      <c r="G5">
        <v>100</v>
      </c>
    </row>
    <row r="6" spans="1:7" x14ac:dyDescent="0.35">
      <c r="A6" s="47">
        <v>0</v>
      </c>
      <c r="B6" s="47">
        <v>5.0981357081259047</v>
      </c>
      <c r="C6" s="47">
        <v>2.4097584164157098E-3</v>
      </c>
      <c r="D6" s="47">
        <v>2.8132845795821999</v>
      </c>
      <c r="E6" s="47">
        <v>9.817473187499999E-2</v>
      </c>
      <c r="F6" s="47">
        <v>13.77</v>
      </c>
      <c r="G6">
        <v>100</v>
      </c>
    </row>
    <row r="7" spans="1:7" x14ac:dyDescent="0.35">
      <c r="A7">
        <v>0</v>
      </c>
      <c r="B7">
        <v>5.1960344478529183</v>
      </c>
      <c r="C7">
        <v>9.6332251078447336E-3</v>
      </c>
      <c r="D7">
        <v>5.6265691591643998</v>
      </c>
      <c r="E7">
        <v>9.817473187499999E-2</v>
      </c>
      <c r="F7">
        <v>13.77</v>
      </c>
      <c r="G7">
        <v>100</v>
      </c>
    </row>
    <row r="8" spans="1:7" x14ac:dyDescent="0.35">
      <c r="A8">
        <v>0</v>
      </c>
      <c r="B8">
        <v>5.2934606609658852</v>
      </c>
      <c r="C8">
        <v>2.1652988401962385E-2</v>
      </c>
      <c r="D8">
        <v>8.4398537387465993</v>
      </c>
      <c r="E8">
        <v>9.817473187499999E-2</v>
      </c>
      <c r="F8">
        <v>13.77</v>
      </c>
      <c r="G8">
        <v>100</v>
      </c>
    </row>
    <row r="9" spans="1:7" x14ac:dyDescent="0.35">
      <c r="A9">
        <v>0</v>
      </c>
      <c r="B9">
        <v>5.3901795082427268</v>
      </c>
      <c r="C9">
        <v>3.8440075481583812E-2</v>
      </c>
      <c r="D9">
        <v>11.2531383183288</v>
      </c>
      <c r="E9">
        <v>9.817473187499999E-2</v>
      </c>
      <c r="F9">
        <v>13.77</v>
      </c>
      <c r="G9">
        <v>100</v>
      </c>
    </row>
    <row r="10" spans="1:7" x14ac:dyDescent="0.35">
      <c r="A10">
        <v>0</v>
      </c>
      <c r="B10">
        <v>5.4859578555183255</v>
      </c>
      <c r="C10">
        <v>5.9954022221657306E-2</v>
      </c>
      <c r="D10">
        <v>14.066422897911</v>
      </c>
      <c r="E10">
        <v>9.817473187499999E-2</v>
      </c>
      <c r="F10">
        <v>13.77</v>
      </c>
      <c r="G10">
        <v>100</v>
      </c>
    </row>
    <row r="11" spans="1:7" x14ac:dyDescent="0.35">
      <c r="A11">
        <v>0</v>
      </c>
      <c r="B11">
        <v>5.5805648356384783</v>
      </c>
      <c r="C11">
        <v>8.6142970725269566E-2</v>
      </c>
      <c r="D11">
        <v>16.879707477493199</v>
      </c>
      <c r="E11">
        <v>9.817473187499999E-2</v>
      </c>
      <c r="F11">
        <v>13.77</v>
      </c>
      <c r="G11">
        <v>100</v>
      </c>
    </row>
    <row r="12" spans="1:7" x14ac:dyDescent="0.35">
      <c r="A12">
        <v>0</v>
      </c>
      <c r="B12">
        <v>5.6737724049493821</v>
      </c>
      <c r="C12">
        <v>0.11694379432355891</v>
      </c>
      <c r="D12">
        <v>19.692992057075397</v>
      </c>
      <c r="E12">
        <v>9.817473187499999E-2</v>
      </c>
      <c r="F12">
        <v>13.77</v>
      </c>
      <c r="G12">
        <v>100</v>
      </c>
    </row>
    <row r="13" spans="1:7" x14ac:dyDescent="0.35">
      <c r="A13">
        <v>0</v>
      </c>
      <c r="B13">
        <v>5.7653558929812592</v>
      </c>
      <c r="C13">
        <v>0.15228224973823254</v>
      </c>
      <c r="D13">
        <v>22.506276636657596</v>
      </c>
      <c r="E13">
        <v>9.817473187499999E-2</v>
      </c>
      <c r="F13">
        <v>13.77</v>
      </c>
      <c r="G13">
        <v>100</v>
      </c>
    </row>
    <row r="14" spans="1:7" x14ac:dyDescent="0.35">
      <c r="A14">
        <v>0</v>
      </c>
      <c r="B14">
        <v>5.8550945440011573</v>
      </c>
      <c r="C14">
        <v>0.19207315603990957</v>
      </c>
      <c r="D14">
        <v>25.319561216239794</v>
      </c>
      <c r="E14">
        <v>9.817473187499999E-2</v>
      </c>
      <c r="F14">
        <v>13.77</v>
      </c>
      <c r="G14">
        <v>100</v>
      </c>
    </row>
    <row r="15" spans="1:7" x14ac:dyDescent="0.35">
      <c r="A15">
        <v>0</v>
      </c>
      <c r="B15">
        <v>5.9427720491295402</v>
      </c>
      <c r="C15">
        <v>0.23622059997092504</v>
      </c>
      <c r="D15">
        <v>28.132845795821993</v>
      </c>
      <c r="E15">
        <v>9.817473187499999E-2</v>
      </c>
      <c r="F15">
        <v>13.77</v>
      </c>
      <c r="G15">
        <v>100</v>
      </c>
    </row>
    <row r="16" spans="1:7" x14ac:dyDescent="0.35">
      <c r="A16">
        <v>0</v>
      </c>
      <c r="B16">
        <v>6.0281770677380493</v>
      </c>
      <c r="C16">
        <v>0.28461816713767568</v>
      </c>
      <c r="D16">
        <v>30.946130375404195</v>
      </c>
      <c r="E16">
        <v>9.817473187499999E-2</v>
      </c>
      <c r="F16">
        <v>13.77</v>
      </c>
      <c r="G16">
        <v>100</v>
      </c>
    </row>
    <row r="17" spans="1:7" x14ac:dyDescent="0.35">
      <c r="A17">
        <v>0</v>
      </c>
      <c r="B17">
        <v>6.111103736871625</v>
      </c>
      <c r="C17">
        <v>0.33714919851523623</v>
      </c>
      <c r="D17">
        <v>33.759414954986397</v>
      </c>
      <c r="E17">
        <v>9.817473187499999E-2</v>
      </c>
      <c r="F17">
        <v>13.77</v>
      </c>
      <c r="G17">
        <v>100</v>
      </c>
    </row>
    <row r="18" spans="1:7" x14ac:dyDescent="0.35">
      <c r="A18">
        <v>0</v>
      </c>
      <c r="B18">
        <v>6.1913521674670831</v>
      </c>
      <c r="C18">
        <v>0.39368707164595951</v>
      </c>
      <c r="D18">
        <v>36.572699534568599</v>
      </c>
      <c r="E18">
        <v>9.817473187499999E-2</v>
      </c>
      <c r="F18">
        <v>13.77</v>
      </c>
      <c r="G18">
        <v>100</v>
      </c>
    </row>
    <row r="19" spans="1:7" x14ac:dyDescent="0.35">
      <c r="A19">
        <v>0</v>
      </c>
      <c r="B19">
        <v>6.2687289261720247</v>
      </c>
      <c r="C19">
        <v>0.45409550585424824</v>
      </c>
      <c r="D19">
        <v>39.385984114150801</v>
      </c>
      <c r="E19">
        <v>9.817473187499999E-2</v>
      </c>
      <c r="F19">
        <v>13.77</v>
      </c>
      <c r="G19">
        <v>100</v>
      </c>
    </row>
    <row r="20" spans="1:7" x14ac:dyDescent="0.35">
      <c r="A20">
        <v>0</v>
      </c>
      <c r="B20">
        <v>6.3430475016027001</v>
      </c>
      <c r="C20">
        <v>0.51822889074180034</v>
      </c>
      <c r="D20">
        <v>42.199268693733003</v>
      </c>
      <c r="E20">
        <v>9.817473187499999E-2</v>
      </c>
      <c r="F20">
        <v>13.77</v>
      </c>
      <c r="G20">
        <v>100</v>
      </c>
    </row>
    <row r="21" spans="1:7" x14ac:dyDescent="0.35">
      <c r="A21">
        <v>0</v>
      </c>
      <c r="B21">
        <v>6.4141287539169412</v>
      </c>
      <c r="C21">
        <v>0.58593263717151434</v>
      </c>
      <c r="D21">
        <v>45.012553273315206</v>
      </c>
      <c r="E21">
        <v>9.817473187499999E-2</v>
      </c>
      <c r="F21">
        <v>13.77</v>
      </c>
      <c r="G21">
        <v>100</v>
      </c>
    </row>
    <row r="22" spans="1:7" x14ac:dyDescent="0.35">
      <c r="A22">
        <v>0</v>
      </c>
      <c r="B22">
        <v>6.4818013466184974</v>
      </c>
      <c r="C22">
        <v>0.65704354989402913</v>
      </c>
      <c r="D22">
        <v>47.825837852897401</v>
      </c>
      <c r="E22">
        <v>9.817473187499999E-2</v>
      </c>
      <c r="F22">
        <v>13.77</v>
      </c>
      <c r="G22">
        <v>100</v>
      </c>
    </row>
    <row r="23" spans="1:7" x14ac:dyDescent="0.35">
      <c r="A23">
        <v>0</v>
      </c>
      <c r="B23">
        <v>6.5459021595519378</v>
      </c>
      <c r="C23">
        <v>0.73139022091870853</v>
      </c>
      <c r="D23">
        <v>50.639122432479603</v>
      </c>
      <c r="E23">
        <v>9.817473187499999E-2</v>
      </c>
      <c r="F23">
        <v>13.77</v>
      </c>
      <c r="G23">
        <v>100</v>
      </c>
    </row>
    <row r="24" spans="1:7" x14ac:dyDescent="0.35">
      <c r="A24">
        <v>0</v>
      </c>
      <c r="B24">
        <v>6.6062766820926289</v>
      </c>
      <c r="C24">
        <v>0.80879344268087727</v>
      </c>
      <c r="D24">
        <v>53.452407012061805</v>
      </c>
      <c r="E24">
        <v>9.817473187499999E-2</v>
      </c>
      <c r="F24">
        <v>13.77</v>
      </c>
      <c r="G24">
        <v>100</v>
      </c>
    </row>
    <row r="25" spans="1:7" x14ac:dyDescent="0.35">
      <c r="A25">
        <v>0</v>
      </c>
      <c r="B25">
        <v>6.6627793855840229</v>
      </c>
      <c r="C25">
        <v>0.88906664000939695</v>
      </c>
      <c r="D25">
        <v>56.265691591644007</v>
      </c>
      <c r="E25">
        <v>9.817473187499999E-2</v>
      </c>
      <c r="F25">
        <v>13.77</v>
      </c>
      <c r="G25">
        <v>100</v>
      </c>
    </row>
    <row r="26" spans="1:7" x14ac:dyDescent="0.35">
      <c r="A26">
        <v>0</v>
      </c>
      <c r="B26">
        <v>6.7152740741245323</v>
      </c>
      <c r="C26">
        <v>0.97201631985335246</v>
      </c>
      <c r="D26">
        <v>59.078976171226209</v>
      </c>
      <c r="E26">
        <v>9.817473187499999E-2</v>
      </c>
      <c r="F26">
        <v>13.77</v>
      </c>
      <c r="G26">
        <v>100</v>
      </c>
    </row>
    <row r="27" spans="1:7" x14ac:dyDescent="0.35">
      <c r="A27">
        <v>0</v>
      </c>
      <c r="B27">
        <v>6.7636342128584328</v>
      </c>
      <c r="C27">
        <v>1.0574425376838157</v>
      </c>
      <c r="D27">
        <v>61.892260750808411</v>
      </c>
      <c r="E27">
        <v>9.817473187499999E-2</v>
      </c>
      <c r="F27">
        <v>13.77</v>
      </c>
      <c r="G27">
        <v>100</v>
      </c>
    </row>
    <row r="28" spans="1:7" x14ac:dyDescent="0.35">
      <c r="A28">
        <v>0</v>
      </c>
      <c r="B28">
        <v>6.807743232979476</v>
      </c>
      <c r="C28">
        <v>1.1451393794464542</v>
      </c>
      <c r="D28">
        <v>64.705545330390621</v>
      </c>
      <c r="E28">
        <v>9.817473187499999E-2</v>
      </c>
      <c r="F28">
        <v>13.77</v>
      </c>
      <c r="G28">
        <v>100</v>
      </c>
    </row>
    <row r="29" spans="1:7" x14ac:dyDescent="0.35">
      <c r="A29">
        <v>0</v>
      </c>
      <c r="B29">
        <v>6.8474948127120241</v>
      </c>
      <c r="C29">
        <v>1.2348954579032734</v>
      </c>
      <c r="D29">
        <v>67.518829909972823</v>
      </c>
      <c r="E29">
        <v>9.817473187499999E-2</v>
      </c>
      <c r="F29">
        <v>13.77</v>
      </c>
      <c r="G29">
        <v>100</v>
      </c>
    </row>
    <row r="30" spans="1:7" x14ac:dyDescent="0.35">
      <c r="A30">
        <v>0</v>
      </c>
      <c r="B30">
        <v>6.8827931335924175</v>
      </c>
      <c r="C30">
        <v>1.3264944221670938</v>
      </c>
      <c r="D30">
        <v>70.332114489555025</v>
      </c>
      <c r="E30">
        <v>9.817473187499999E-2</v>
      </c>
      <c r="F30">
        <v>13.77</v>
      </c>
      <c r="G30">
        <v>100</v>
      </c>
    </row>
    <row r="31" spans="1:7" x14ac:dyDescent="0.35">
      <c r="A31">
        <v>0</v>
      </c>
      <c r="B31">
        <v>6.9135531114328241</v>
      </c>
      <c r="C31">
        <v>1.4197154792005644</v>
      </c>
      <c r="D31">
        <v>73.145399069137213</v>
      </c>
      <c r="E31">
        <v>9.817473187499999E-2</v>
      </c>
      <c r="F31">
        <v>13.77</v>
      </c>
      <c r="G31">
        <v>100</v>
      </c>
    </row>
    <row r="32" spans="1:7" x14ac:dyDescent="0.35">
      <c r="A32">
        <v>0</v>
      </c>
      <c r="B32">
        <v>6.9397006014108555</v>
      </c>
      <c r="C32">
        <v>1.5143339260226749</v>
      </c>
      <c r="D32">
        <v>75.958683648719415</v>
      </c>
      <c r="E32">
        <v>9.817473187499999E-2</v>
      </c>
      <c r="F32">
        <v>13.77</v>
      </c>
      <c r="G32">
        <v>100</v>
      </c>
    </row>
    <row r="33" spans="1:7" x14ac:dyDescent="0.35">
      <c r="A33">
        <v>0</v>
      </c>
      <c r="B33">
        <v>6.9611725767905916</v>
      </c>
      <c r="C33">
        <v>1.6101216913399214</v>
      </c>
      <c r="D33">
        <v>78.771968228301617</v>
      </c>
      <c r="E33">
        <v>9.817473187499999E-2</v>
      </c>
      <c r="F33">
        <v>13.77</v>
      </c>
      <c r="G33">
        <v>100</v>
      </c>
    </row>
    <row r="34" spans="1:7" x14ac:dyDescent="0.35">
      <c r="A34">
        <v>0</v>
      </c>
      <c r="B34">
        <v>6.9779172808442107</v>
      </c>
      <c r="C34">
        <v>1.7068478852965563</v>
      </c>
      <c r="D34">
        <v>81.585252807883819</v>
      </c>
      <c r="E34">
        <v>9.817473187499999E-2</v>
      </c>
      <c r="F34">
        <v>13.77</v>
      </c>
      <c r="G34">
        <v>100</v>
      </c>
    </row>
    <row r="35" spans="1:7" x14ac:dyDescent="0.35">
      <c r="A35">
        <v>0</v>
      </c>
      <c r="B35">
        <v>6.9898943516080463</v>
      </c>
      <c r="C35">
        <v>1.8042793560187922</v>
      </c>
      <c r="D35">
        <v>84.398537387466021</v>
      </c>
      <c r="E35">
        <v>9.817473187499999E-2</v>
      </c>
      <c r="F35">
        <v>13.77</v>
      </c>
      <c r="G35">
        <v>100</v>
      </c>
    </row>
    <row r="36" spans="1:7" x14ac:dyDescent="0.35">
      <c r="A36">
        <v>0</v>
      </c>
      <c r="B36">
        <v>6.9970749191723378</v>
      </c>
      <c r="C36">
        <v>1.902181251611444</v>
      </c>
      <c r="D36">
        <v>87.211821967048223</v>
      </c>
      <c r="E36">
        <v>9.817473187499999E-2</v>
      </c>
      <c r="F36">
        <v>13.77</v>
      </c>
      <c r="G36">
        <v>100</v>
      </c>
    </row>
    <row r="37" spans="1:7" x14ac:dyDescent="0.35">
      <c r="A37">
        <v>0</v>
      </c>
      <c r="B37">
        <v>6.9994416752701714</v>
      </c>
      <c r="C37">
        <v>2.0003175862523568</v>
      </c>
      <c r="D37">
        <v>90.025106546630425</v>
      </c>
      <c r="E37">
        <v>9.817473187499999E-2</v>
      </c>
      <c r="F37">
        <v>13.77</v>
      </c>
      <c r="G37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63</vt:i4>
      </vt:variant>
    </vt:vector>
  </HeadingPairs>
  <TitlesOfParts>
    <vt:vector size="72" baseType="lpstr">
      <vt:lpstr>Control</vt:lpstr>
      <vt:lpstr>Settings</vt:lpstr>
      <vt:lpstr>Monitor</vt:lpstr>
      <vt:lpstr>Sequence</vt:lpstr>
      <vt:lpstr>CartLog</vt:lpstr>
      <vt:lpstr>GimbalLog</vt:lpstr>
      <vt:lpstr>Log</vt:lpstr>
      <vt:lpstr>AstroTable</vt:lpstr>
      <vt:lpstr>Trace</vt:lpstr>
      <vt:lpstr>btnExportModules</vt:lpstr>
      <vt:lpstr>btnGenerateGCTable</vt:lpstr>
      <vt:lpstr>btnGetSunsetTime</vt:lpstr>
      <vt:lpstr>btnImportModules</vt:lpstr>
      <vt:lpstr>btnInitShoot</vt:lpstr>
      <vt:lpstr>btnIntegrateBicycle</vt:lpstr>
      <vt:lpstr>btnStartSequence</vt:lpstr>
      <vt:lpstr>btnStopSequence</vt:lpstr>
      <vt:lpstr>btnSystemCheck</vt:lpstr>
      <vt:lpstr>dataArduinoIP</vt:lpstr>
      <vt:lpstr>dataAstroDusk</vt:lpstr>
      <vt:lpstr>dataCameraIP</vt:lpstr>
      <vt:lpstr>dataCartHeading</vt:lpstr>
      <vt:lpstr>dataCartOverdrive</vt:lpstr>
      <vt:lpstr>dataCartSpeed</vt:lpstr>
      <vt:lpstr>dataCartSteering</vt:lpstr>
      <vt:lpstr>dataCartVoltage</vt:lpstr>
      <vt:lpstr>dataCivilDawn</vt:lpstr>
      <vt:lpstr>dataCivilDusk</vt:lpstr>
      <vt:lpstr>dataCommCameraCheck</vt:lpstr>
      <vt:lpstr>dataCurrentAv</vt:lpstr>
      <vt:lpstr>dataCurrentISO</vt:lpstr>
      <vt:lpstr>dataCurrentMode</vt:lpstr>
      <vt:lpstr>dataCurrentTv</vt:lpstr>
      <vt:lpstr>dataGimbalPitch</vt:lpstr>
      <vt:lpstr>dataGimbalRoll</vt:lpstr>
      <vt:lpstr>dataGimbalTargetPitch</vt:lpstr>
      <vt:lpstr>dataGimbalTargetRoll</vt:lpstr>
      <vt:lpstr>dataGimbalTargetYaw</vt:lpstr>
      <vt:lpstr>dataGimbalYaw</vt:lpstr>
      <vt:lpstr>dataLatitude</vt:lpstr>
      <vt:lpstr>dataLongitude</vt:lpstr>
      <vt:lpstr>dataLuminance</vt:lpstr>
      <vt:lpstr>dataLumTargetSunrise</vt:lpstr>
      <vt:lpstr>dataLumTargetSunset</vt:lpstr>
      <vt:lpstr>dataNauticalDusk</vt:lpstr>
      <vt:lpstr>dataPhase1Start</vt:lpstr>
      <vt:lpstr>dataPhase2aStart</vt:lpstr>
      <vt:lpstr>dataPhase2bStart</vt:lpstr>
      <vt:lpstr>dataPhase3Start</vt:lpstr>
      <vt:lpstr>dataPhase4aStart</vt:lpstr>
      <vt:lpstr>dataPhase4bStart</vt:lpstr>
      <vt:lpstr>dataPhase5Start</vt:lpstr>
      <vt:lpstr>dataReplayStart</vt:lpstr>
      <vt:lpstr>dataSequenceRunning</vt:lpstr>
      <vt:lpstr>dataShotCount</vt:lpstr>
      <vt:lpstr>dataSunriseTime</vt:lpstr>
      <vt:lpstr>dataSunsetTime</vt:lpstr>
      <vt:lpstr>dataUTCOffset</vt:lpstr>
      <vt:lpstr>monAv</vt:lpstr>
      <vt:lpstr>monCartSpeed</vt:lpstr>
      <vt:lpstr>monCartSteering</vt:lpstr>
      <vt:lpstr>monCartVoltage</vt:lpstr>
      <vt:lpstr>monGimbalPitch</vt:lpstr>
      <vt:lpstr>monGimbalYaw</vt:lpstr>
      <vt:lpstr>monInterval</vt:lpstr>
      <vt:lpstr>monISO</vt:lpstr>
      <vt:lpstr>monLuminance</vt:lpstr>
      <vt:lpstr>monPhase</vt:lpstr>
      <vt:lpstr>monSequence</vt:lpstr>
      <vt:lpstr>monShotCount</vt:lpstr>
      <vt:lpstr>monTime</vt:lpstr>
      <vt:lpstr>monTv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Maurice windley</cp:lastModifiedBy>
  <dcterms:created xsi:type="dcterms:W3CDTF">2026-05-09T11:10:48Z</dcterms:created>
  <dcterms:modified xsi:type="dcterms:W3CDTF">2026-05-14T12:16:03Z</dcterms:modified>
</cp:coreProperties>
</file>