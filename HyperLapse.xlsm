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HyperLapse-Excel\"/>
    </mc:Choice>
  </mc:AlternateContent>
  <xr:revisionPtr revIDLastSave="0" documentId="13_ncr:1_{EBD04CB0-6888-4B61-ABC7-DAD22E881D35}" xr6:coauthVersionLast="47" xr6:coauthVersionMax="47" xr10:uidLastSave="{00000000-0000-0000-0000-000000000000}"/>
  <bookViews>
    <workbookView xWindow="810" yWindow="4460" windowWidth="31340" windowHeight="17100" xr2:uid="{00000000-000D-0000-FFFF-FFFF00000000}"/>
  </bookViews>
  <sheets>
    <sheet name="Control" sheetId="8" r:id="rId1"/>
    <sheet name="Settings" sheetId="1" r:id="rId2"/>
    <sheet name="Plan" sheetId="18" r:id="rId3"/>
    <sheet name="Monitor" sheetId="2" r:id="rId4"/>
    <sheet name="Sequence" sheetId="3" r:id="rId5"/>
    <sheet name="CartLog" sheetId="4" r:id="rId6"/>
    <sheet name="GimbalLog" sheetId="5" r:id="rId7"/>
    <sheet name="Log" sheetId="6" r:id="rId8"/>
    <sheet name="Soak test" sheetId="19" r:id="rId9"/>
    <sheet name="AstroTable" sheetId="7" r:id="rId10"/>
    <sheet name="Trace" sheetId="9" r:id="rId11"/>
    <sheet name="FallbackFormula" sheetId="16" r:id="rId12"/>
    <sheet name="Calibration" sheetId="20" r:id="rId13"/>
    <sheet name="GimbalViz" sheetId="21" r:id="rId14"/>
  </sheets>
  <functionGroups builtInGroupCount="19"/>
  <definedNames>
    <definedName name="_xleta.ROW" hidden="1" xlm="1">#NAME?</definedName>
    <definedName name="btnCable">Control!$C$18</definedName>
    <definedName name="btnCommitSmooth">CartLog!$H$1</definedName>
    <definedName name="btnDiscardSmooth">CartLog!$I$1</definedName>
    <definedName name="btnExportModules">Control!$C$14</definedName>
    <definedName name="btnGenerateGCTable">Control!$C$8</definedName>
    <definedName name="btnGetMap">Control!$C$19</definedName>
    <definedName name="btnGetSunsetTime">Control!$C$7</definedName>
    <definedName name="btnGimbalVisual">Control!$C$17</definedName>
    <definedName name="btnImportModules">Control!$C$15</definedName>
    <definedName name="btnInitCalibration">Control!$C$12</definedName>
    <definedName name="btnInitFallbackFormula">Control!$C$10</definedName>
    <definedName name="btnInitShoot">Control!$C$4</definedName>
    <definedName name="btnIntegrateBicycle">Control!$C$9</definedName>
    <definedName name="btnMatchWaypoints">Control!$C$13</definedName>
    <definedName name="btnPrepAll">Control!$C$21</definedName>
    <definedName name="btnPushAstro">Control!$C$16</definedName>
    <definedName name="btnPushFormula">Control!$C$11</definedName>
    <definedName name="btnPushTrack">Control!$C$20</definedName>
    <definedName name="btnSmoothSelection">CartLog!$G$1</definedName>
    <definedName name="btnStartSequence">Control!$C$5</definedName>
    <definedName name="btnStopSequence">Control!$C$6</definedName>
    <definedName name="btnSystemCheck">Control!$C$3</definedName>
    <definedName name="dataActiveBranch">Settings!$C$44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EaseCinematic">Settings!$C$59</definedName>
    <definedName name="dataEaseComfortable">Settings!$C$58</definedName>
    <definedName name="dataEaseJustPerceptible">Settings!$C$57</definedName>
    <definedName name="dataGCRiseTime">Settings!$C$52</definedName>
    <definedName name="dataGCSetTime">Settings!$C$54</definedName>
    <definedName name="dataGCTransitTime">Settings!$C$53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LumTargetSunrise">Settings!$C$42</definedName>
    <definedName name="dataLumTargetSunset">Settings!$C$41</definedName>
    <definedName name="dataMoonriseTime">Settings!$F$25</definedName>
    <definedName name="dataMoonsetTime">Settings!$F$26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PlanPushDryRun">Settings!$C$65</definedName>
    <definedName name="dataReplayStart">Settings!$C$14</definedName>
    <definedName name="dataSequenceRunning">Settings!$C$24</definedName>
    <definedName name="dataShootStart">Settings!$C$49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datMapRadius">Control!$D$17:$D$18</definedName>
    <definedName name="gimbalYawEnvelopeMax">Settings!$C$46</definedName>
    <definedName name="gimbalYawEnvelopeMin">Settings!$C$45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21" l="1"/>
  <c r="B10" i="21"/>
  <c r="B9" i="21"/>
  <c r="B8" i="21"/>
  <c r="J16" i="21"/>
  <c r="J15" i="21"/>
  <c r="I16" i="21"/>
  <c r="I15" i="21"/>
  <c r="G19" i="21"/>
  <c r="F19" i="21"/>
  <c r="E19" i="21"/>
  <c r="D19" i="21"/>
  <c r="C19" i="21"/>
  <c r="B19" i="21"/>
  <c r="A19" i="21"/>
  <c r="G18" i="21"/>
  <c r="F18" i="21"/>
  <c r="E18" i="21"/>
  <c r="D18" i="21"/>
  <c r="C18" i="21"/>
  <c r="B18" i="21"/>
  <c r="A18" i="21"/>
  <c r="G17" i="21"/>
  <c r="F17" i="21"/>
  <c r="E17" i="21"/>
  <c r="D17" i="21"/>
  <c r="C17" i="21"/>
  <c r="B17" i="21"/>
  <c r="A17" i="21"/>
  <c r="G16" i="21"/>
  <c r="F16" i="21"/>
  <c r="E16" i="21"/>
  <c r="D16" i="21"/>
  <c r="C16" i="21"/>
  <c r="B16" i="21"/>
  <c r="A16" i="21"/>
  <c r="G15" i="21"/>
  <c r="F15" i="21"/>
  <c r="D15" i="21"/>
  <c r="C15" i="21"/>
  <c r="B15" i="21"/>
  <c r="A15" i="21"/>
  <c r="M10" i="18"/>
  <c r="M9" i="18"/>
  <c r="J11" i="18"/>
  <c r="J12" i="18"/>
  <c r="J13" i="18"/>
  <c r="J14" i="18"/>
  <c r="J15" i="18"/>
  <c r="J16" i="18"/>
  <c r="J17" i="18"/>
  <c r="J18" i="18"/>
  <c r="J6" i="18"/>
  <c r="E46" i="20"/>
  <c r="G46" i="20" s="1"/>
  <c r="D46" i="20"/>
  <c r="F46" i="20" s="1"/>
  <c r="E45" i="20"/>
  <c r="G45" i="20" s="1"/>
  <c r="D45" i="20"/>
  <c r="F45" i="20" s="1"/>
  <c r="E44" i="20"/>
  <c r="G44" i="20" s="1"/>
  <c r="D44" i="20"/>
  <c r="F44" i="20" s="1"/>
  <c r="E43" i="20"/>
  <c r="G43" i="20" s="1"/>
  <c r="D43" i="20"/>
  <c r="F43" i="20" s="1"/>
  <c r="E42" i="20"/>
  <c r="G42" i="20" s="1"/>
  <c r="D42" i="20"/>
  <c r="F42" i="20" s="1"/>
  <c r="E41" i="20"/>
  <c r="G41" i="20" s="1"/>
  <c r="D41" i="20"/>
  <c r="F41" i="20" s="1"/>
  <c r="E40" i="20"/>
  <c r="G40" i="20" s="1"/>
  <c r="D40" i="20"/>
  <c r="F40" i="20" s="1"/>
  <c r="E39" i="20"/>
  <c r="G39" i="20" s="1"/>
  <c r="D39" i="20"/>
  <c r="F39" i="20" s="1"/>
  <c r="C27" i="20"/>
  <c r="C25" i="20"/>
  <c r="C24" i="20"/>
  <c r="C23" i="20"/>
  <c r="C28" i="20" s="1"/>
  <c r="D3" i="19"/>
  <c r="D4" i="19"/>
  <c r="D5" i="19"/>
  <c r="D6" i="19"/>
  <c r="D7" i="19"/>
  <c r="D8" i="19"/>
  <c r="D9" i="19"/>
  <c r="D10" i="19"/>
  <c r="A6" i="19"/>
  <c r="A4" i="19"/>
  <c r="M8" i="18"/>
  <c r="M7" i="18"/>
  <c r="M6" i="18"/>
  <c r="C151" i="16"/>
  <c r="G11" i="1"/>
  <c r="G12" i="1"/>
  <c r="G13" i="1"/>
  <c r="G14" i="1"/>
  <c r="G15" i="1"/>
  <c r="G10" i="1"/>
  <c r="G8" i="1"/>
  <c r="C149" i="16"/>
  <c r="C150" i="16"/>
  <c r="H42" i="20" l="1"/>
  <c r="H46" i="20"/>
  <c r="H43" i="20"/>
  <c r="H41" i="20"/>
  <c r="J7" i="18"/>
  <c r="Q7" i="18"/>
  <c r="H40" i="20"/>
  <c r="H44" i="20"/>
  <c r="H39" i="20"/>
  <c r="C30" i="20"/>
  <c r="C31" i="20" s="1"/>
  <c r="C26" i="20"/>
  <c r="H45" i="20"/>
  <c r="Q6" i="18"/>
  <c r="F9" i="1"/>
  <c r="J8" i="18" l="1"/>
  <c r="C50" i="20"/>
  <c r="C49" i="20"/>
  <c r="R6" i="18"/>
  <c r="J9" i="18" l="1"/>
  <c r="Q8" i="18"/>
  <c r="Q9" i="18"/>
  <c r="J10" i="18" l="1"/>
  <c r="R7" i="18"/>
  <c r="Q10" i="18"/>
  <c r="R10" i="18" s="1"/>
  <c r="R8" i="18"/>
  <c r="R9" i="18" l="1"/>
</calcChain>
</file>

<file path=xl/sharedStrings.xml><?xml version="1.0" encoding="utf-8"?>
<sst xmlns="http://schemas.openxmlformats.org/spreadsheetml/2006/main" count="1638" uniqueCount="606">
  <si>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</si>
  <si>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</si>
  <si>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</si>
  <si>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</si>
  <si>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</si>
  <si>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</si>
  <si>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</si>
  <si>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</si>
  <si>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</si>
  <si>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</si>
  <si>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</si>
  <si>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</si>
  <si>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</si>
  <si>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</si>
  <si>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</si>
  <si>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</si>
  <si>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</si>
  <si>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</si>
  <si>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</si>
  <si>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</si>
  <si>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</si>
  <si>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</si>
  <si>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</si>
  <si>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</si>
  <si>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</si>
  <si>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</si>
  <si>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</si>
  <si>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</si>
  <si>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</si>
  <si>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</si>
  <si>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</si>
  <si>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</si>
  <si>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</si>
  <si>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</si>
  <si>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</si>
  <si>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</si>
  <si>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</si>
  <si>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</si>
  <si>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</si>
  <si>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</si>
  <si>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</si>
  <si>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</si>
  <si>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</si>
  <si>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</si>
  <si>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</si>
  <si>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</si>
  <si>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</si>
  <si>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</si>
  <si>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</si>
  <si>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</si>
  <si>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</si>
  <si>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</si>
  <si>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</si>
  <si>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</si>
  <si>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</si>
  <si>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</si>
  <si>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</si>
  <si>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</si>
  <si>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</si>
  <si>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</si>
  <si>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</si>
  <si>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</si>
  <si>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</si>
  <si>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</si>
  <si>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</si>
  <si>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</si>
  <si>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</si>
  <si>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</si>
  <si>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</si>
  <si>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</si>
  <si>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</si>
  <si>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</si>
  <si>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</si>
  <si>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</si>
  <si>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</si>
  <si>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</si>
  <si>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</si>
  <si>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</si>
  <si>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Category</t>
  </si>
  <si>
    <t>Message</t>
  </si>
  <si>
    <t>GC above horizon</t>
  </si>
  <si>
    <t>http://192.168.1.99:8080</t>
  </si>
  <si>
    <t>http://192.168.1.97</t>
  </si>
  <si>
    <t>no</t>
  </si>
  <si>
    <t>YES</t>
  </si>
  <si>
    <t>2.0s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</si>
  <si>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</si>
  <si>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</si>
  <si>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</si>
  <si>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</si>
  <si>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</si>
  <si>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</si>
  <si>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</si>
  <si>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</si>
  <si>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</si>
  <si>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</si>
  <si>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Phase 2a/2b target luminance (0–255 scale)</t>
  </si>
  <si>
    <t>Phase 4a/4b target luminance (0–255 scale)</t>
  </si>
  <si>
    <t>Luminace</t>
  </si>
  <si>
    <t xml:space="preserve">iso </t>
  </si>
  <si>
    <t>Integrate Bicycle</t>
  </si>
  <si>
    <t>S</t>
  </si>
  <si>
    <t>T</t>
  </si>
  <si>
    <t>t_sec</t>
  </si>
  <si>
    <t>x_m</t>
  </si>
  <si>
    <t>y_m</t>
  </si>
  <si>
    <t>theta_deg</t>
  </si>
  <si>
    <t>segment_dist_m</t>
  </si>
  <si>
    <t>steering_deg</t>
  </si>
  <si>
    <t>speed_mhr</t>
  </si>
  <si>
    <t>Init Fallback Formula</t>
  </si>
  <si>
    <t>Push Formula to Cart</t>
  </si>
  <si>
    <t>Fallback Formula Parameters</t>
  </si>
  <si>
    <t>Parameter</t>
  </si>
  <si>
    <t>default</t>
  </si>
  <si>
    <t>-- Sunset Tv crossovers (t_rel sec) --</t>
  </si>
  <si>
    <t>Tv=1/5000 (ISO 100)</t>
  </si>
  <si>
    <t>Tv=1/4000 (ISO 100)</t>
  </si>
  <si>
    <t>Tv=1/3200 (ISO 100)</t>
  </si>
  <si>
    <t>Tv=1/2500 (ISO 100)</t>
  </si>
  <si>
    <t>Tv=1/2000 (ISO 100)</t>
  </si>
  <si>
    <t>Tv=1/1600 (ISO 100)</t>
  </si>
  <si>
    <t>Tv=1/1250 (ISO 100)</t>
  </si>
  <si>
    <t>Tv=1/1000 (ISO 100)</t>
  </si>
  <si>
    <t>Tv=1/800 (ISO 100)</t>
  </si>
  <si>
    <t>Tv=1/640 (ISO 100)</t>
  </si>
  <si>
    <t>Tv=1/500 (ISO 100)</t>
  </si>
  <si>
    <t>Tv=1/400 (ISO 100)</t>
  </si>
  <si>
    <t>Tv=1/320 (ISO 100)</t>
  </si>
  <si>
    <t>Tv=1/250 (ISO 100)</t>
  </si>
  <si>
    <t>Tv=1/200 (ISO 100)</t>
  </si>
  <si>
    <t>Tv=1/160 (ISO 100)</t>
  </si>
  <si>
    <t>Tv=1/125 (ISO 100)</t>
  </si>
  <si>
    <t>Tv=1/100 (ISO 100)</t>
  </si>
  <si>
    <t>Tv=1/80 (ISO 100)</t>
  </si>
  <si>
    <t>Tv=1/60 (ISO 100)</t>
  </si>
  <si>
    <t>Tv=1/50 (ISO 100)</t>
  </si>
  <si>
    <t>Tv=1/40 (ISO 100)</t>
  </si>
  <si>
    <t>Tv=1/30 (ISO 100)</t>
  </si>
  <si>
    <t>Tv=1/25 (ISO 100)</t>
  </si>
  <si>
    <t>Tv=1/20 (ISO 100)</t>
  </si>
  <si>
    <t>Tv=1/15 (ISO 100)</t>
  </si>
  <si>
    <t>Tv=1/13 (ISO 100)</t>
  </si>
  <si>
    <t>Tv=1/10 (ISO 100)</t>
  </si>
  <si>
    <t>Tv=1/8 (ISO 100)</t>
  </si>
  <si>
    <t>Tv=1/6 (ISO 100)</t>
  </si>
  <si>
    <t>Tv=1/5 (ISO 100)</t>
  </si>
  <si>
    <t>Tv=1/4 (ISO 100)</t>
  </si>
  <si>
    <t>Tv=0.3 (ISO 100)</t>
  </si>
  <si>
    <t>Tv=0.4 (ISO 100)</t>
  </si>
  <si>
    <t>Tv=0.5 (ISO 100)</t>
  </si>
  <si>
    <t>Tv=0.6 (ISO 100)</t>
  </si>
  <si>
    <t>Tv=0.8 (ISO 100)</t>
  </si>
  <si>
    <t>Tv=1 (ISO 100)</t>
  </si>
  <si>
    <t>Tv=1.3 (ISO 100)</t>
  </si>
  <si>
    <t>Tv=1.6 (ISO 100)</t>
  </si>
  <si>
    <t>Tv=2 (ISO 100)</t>
  </si>
  <si>
    <t>Tv=2.5 (ISO 100)</t>
  </si>
  <si>
    <t>Tv=3.2 (ISO 100)</t>
  </si>
  <si>
    <t>Tv=4 (ISO 100)</t>
  </si>
  <si>
    <t>Tv=5 (ISO 100)</t>
  </si>
  <si>
    <t>Tv=6 (ISO 100)</t>
  </si>
  <si>
    <t>Tv=8 (ISO 100)</t>
  </si>
  <si>
    <t>Tv=10 (ISO 100)</t>
  </si>
  <si>
    <t>Tv=13 (ISO 100)</t>
  </si>
  <si>
    <t>Tv=15 (ISO 100)</t>
  </si>
  <si>
    <t>Tv=20 (ISO 100)</t>
  </si>
  <si>
    <t>-- Sunset ISO ramp (Tv pinned at ceiling) --</t>
  </si>
  <si>
    <t>ISO=125 at t_rel (sec)</t>
  </si>
  <si>
    <t>ISO=160 at t_rel (sec)</t>
  </si>
  <si>
    <t>ISO=200 at t_rel (sec)</t>
  </si>
  <si>
    <t>ISO=250 at t_rel (sec)</t>
  </si>
  <si>
    <t>ISO=320 at t_rel (sec)</t>
  </si>
  <si>
    <t>ISO=400 at t_rel (sec)</t>
  </si>
  <si>
    <t>ISO=500 at t_rel (sec)</t>
  </si>
  <si>
    <t>ISO=640 at t_rel (sec)</t>
  </si>
  <si>
    <t>ISO=800 at t_rel (sec)</t>
  </si>
  <si>
    <t>ISO=1000 at t_rel (sec)</t>
  </si>
  <si>
    <t>ISO=1250 at t_rel (sec)</t>
  </si>
  <si>
    <t>ISO=1600 at t_rel (sec)</t>
  </si>
  <si>
    <t>-- Policy ceilings (fixed, not refit) --</t>
  </si>
  <si>
    <t>Tv ceiling (sec)</t>
  </si>
  <si>
    <t>ISO ceiling</t>
  </si>
  <si>
    <t>ISO base (Tv-only phase)</t>
  </si>
  <si>
    <t>t_rel (sec)</t>
  </si>
  <si>
    <t>Tv</t>
  </si>
  <si>
    <t>Branch in use</t>
  </si>
  <si>
    <t>Active branch</t>
  </si>
  <si>
    <t>-- Sunrise ISO ramp (deep dark to ISO base) --</t>
  </si>
  <si>
    <t>ISO=300 at t_rel (sec)</t>
  </si>
  <si>
    <t>ISO=100 at t_rel (sec)</t>
  </si>
  <si>
    <t>-- Sunrise Tv crossovers (t_rel sec) --</t>
  </si>
  <si>
    <t>Tv=3 (ISO 100)</t>
  </si>
  <si>
    <t>-- Live evaluator (pick event, scrub t_rel) --</t>
  </si>
  <si>
    <t>Sun event</t>
  </si>
  <si>
    <t>Init Calibration Sheet</t>
  </si>
  <si>
    <t>Match Waypoints to Log</t>
  </si>
  <si>
    <t>Cart Calibration Test (workfront #29)</t>
  </si>
  <si>
    <t>-- Test metadata --</t>
  </si>
  <si>
    <t>Date / time</t>
  </si>
  <si>
    <t>Surface</t>
  </si>
  <si>
    <t>grass</t>
  </si>
  <si>
    <t>Weather</t>
  </si>
  <si>
    <t>Servo offset commanded (deg)</t>
  </si>
  <si>
    <t>Turn direction (L or R)</t>
  </si>
  <si>
    <t>L</t>
  </si>
  <si>
    <t>-- Rear-axle (x, y) measurements (peg = origin, mm) --</t>
  </si>
  <si>
    <t>x (mm)</t>
  </si>
  <si>
    <t>y (mm)</t>
  </si>
  <si>
    <t>Point 1 (approx 0Â°)</t>
  </si>
  <si>
    <t>Point 2 (approx 45Â°)</t>
  </si>
  <si>
    <t>Point 3 (approx 90Â°)</t>
  </si>
  <si>
    <t>Point 4 (approx 135Â°)</t>
  </si>
  <si>
    <t>Point 5 (approx 180Â°)</t>
  </si>
  <si>
    <t>Point 6 (approx 225Â°)</t>
  </si>
  <si>
    <t>Point 7 (approx 270Â°)</t>
  </si>
  <si>
    <t>Point 8 (approx 315Â°)</t>
  </si>
  <si>
    <t>-- Calibration results (computed live) --</t>
  </si>
  <si>
    <t>Fitted centre x (mm)</t>
  </si>
  <si>
    <t>Fitted centre y (mm)</t>
  </si>
  <si>
    <t>Fitted radius R (mm)</t>
  </si>
  <si>
    <t>Fitted diameter (mm)</t>
  </si>
  <si>
    <t>Radius scatter Â± (mm)</t>
  </si>
  <si>
    <t>Centre offset from peg (mm)</t>
  </si>
  <si>
    <t>Implied wheel angle (deg)</t>
  </si>
  <si>
    <t>Implied SERVO_TO_DEG</t>
  </si>
  <si>
    <t>Current constant (day-9 first est.)</t>
  </si>
  <si>
    <t>-- Log waypoint comparison (bicycle model vs ground truth) --</t>
  </si>
  <si>
    <t>After pulling CartLog and running IntegrateBicycle: click "Match Waypoints to Log" to auto-fill row numbers.</t>
  </si>
  <si>
    <t>Waypoint</t>
  </si>
  <si>
    <t>CartLog row</t>
  </si>
  <si>
    <t>x_log (mm)</t>
  </si>
  <si>
    <t>y_log (mm)</t>
  </si>
  <si>
    <t>Î”x (mm)</t>
  </si>
  <si>
    <t>Î”y (mm)</t>
  </si>
  <si>
    <t>|Î”| (mm)</t>
  </si>
  <si>
    <t>Waypoint 1</t>
  </si>
  <si>
    <t>Waypoint 2</t>
  </si>
  <si>
    <t>Waypoint 3</t>
  </si>
  <si>
    <t>Waypoint 4</t>
  </si>
  <si>
    <t>Waypoint 5</t>
  </si>
  <si>
    <t>Waypoint 6</t>
  </si>
  <si>
    <t>Waypoint 7</t>
  </si>
  <si>
    <t>Waypoint 8</t>
  </si>
  <si>
    <t>Bicycle-model fidelity summary</t>
  </si>
  <si>
    <t>Max |Î”| across 8 points (mm)</t>
  </si>
  <si>
    <t>RMS |Î”| across 8 points (mm)</t>
  </si>
  <si>
    <t>CartLogRow</t>
  </si>
  <si>
    <t>Gimbal yaw envelope min (Â°)</t>
  </si>
  <si>
    <t>Gimbal yaw envelope max (Â°)</t>
  </si>
  <si>
    <t>1/5000</t>
  </si>
  <si>
    <t>Push Astro to Cart</t>
  </si>
  <si>
    <t>Push Track Paths to Cart</t>
  </si>
  <si>
    <t>Moon set</t>
  </si>
  <si>
    <t>Moon Rise</t>
  </si>
  <si>
    <t>PLAN — combined cart + gimbal authoring surface</t>
  </si>
  <si>
    <t>LEFT — Cart Plan (editable)</t>
  </si>
  <si>
    <t>MIDDLE — Gimbal Plan (editable)</t>
  </si>
  <si>
    <t>Step</t>
  </si>
  <si>
    <t>Dist (m)</t>
  </si>
  <si>
    <t>Turn (°)</t>
  </si>
  <si>
    <t>Hold (s)</t>
  </si>
  <si>
    <t>Dist Σ (m)</t>
  </si>
  <si>
    <t>Note</t>
  </si>
  <si>
    <t>Anchor type</t>
  </si>
  <si>
    <t>Anchor ref</t>
  </si>
  <si>
    <t>Offset (min)</t>
  </si>
  <si>
    <t>Fires at</t>
  </si>
  <si>
    <t>Total dur</t>
  </si>
  <si>
    <t>Target</t>
  </si>
  <si>
    <t>Rate</t>
  </si>
  <si>
    <t>Ry (°)</t>
  </si>
  <si>
    <t>Rp (°)</t>
  </si>
  <si>
    <t>Δyaw (°)</t>
  </si>
  <si>
    <t>Δpitch (°)</t>
  </si>
  <si>
    <t>Ease</t>
  </si>
  <si>
    <t>Move t</t>
  </si>
  <si>
    <t>Log row#</t>
  </si>
  <si>
    <t>Time</t>
  </si>
  <si>
    <t>Astro tgt</t>
  </si>
  <si>
    <t>KF</t>
  </si>
  <si>
    <t>Label</t>
  </si>
  <si>
    <t>DRIVE</t>
  </si>
  <si>
    <t>WP</t>
  </si>
  <si>
    <t>WP01</t>
  </si>
  <si>
    <t>—</t>
  </si>
  <si>
    <t>14:32:17</t>
  </si>
  <si>
    <t>marker</t>
  </si>
  <si>
    <t>Tree</t>
  </si>
  <si>
    <t>14:45:02</t>
  </si>
  <si>
    <t>Harbour</t>
  </si>
  <si>
    <t>sunset</t>
  </si>
  <si>
    <t>14:58:30</t>
  </si>
  <si>
    <t>Hill</t>
  </si>
  <si>
    <t>END</t>
  </si>
  <si>
    <t>15:10:45</t>
  </si>
  <si>
    <t>astro</t>
  </si>
  <si>
    <t>mid</t>
  </si>
  <si>
    <t>Sunset framed bottom-left</t>
  </si>
  <si>
    <t>15:14:10</t>
  </si>
  <si>
    <t>MW</t>
  </si>
  <si>
    <t>rise</t>
  </si>
  <si>
    <t>MW just clearing horizon</t>
  </si>
  <si>
    <t>STOP</t>
  </si>
  <si>
    <t>Plan authoring (Session E)</t>
  </si>
  <si>
    <t>Shoot start anchor</t>
  </si>
  <si>
    <t>Wall-clock cart start (Way01); Plan times computed from here</t>
  </si>
  <si>
    <t>Location-dependent; placeholder</t>
  </si>
  <si>
    <t>Ease band durations (audience frames at 60fps)</t>
  </si>
  <si>
    <t>Ease: Just-perceptible</t>
  </si>
  <si>
    <t>Frames; ~3 = abrupt but noticed</t>
  </si>
  <si>
    <t>Ease: Comfortable</t>
  </si>
  <si>
    <t>Frames; comfortable cinematic</t>
  </si>
  <si>
    <t>Ease: Cinematic</t>
  </si>
  <si>
    <t>Frames; slow, deliberate</t>
  </si>
  <si>
    <t>NB: ease duration = frames x cadence_sec (cadence from Tv at fire time)</t>
  </si>
  <si>
    <t>P7 Plan push</t>
  </si>
  <si>
    <t>Plan push dry-run</t>
  </si>
  <si>
    <t>TRUE = validate + decompose only, no POST. FALSE = real push (pings cart first).</t>
  </si>
  <si>
    <t>GC rise (was MW core rise)</t>
  </si>
  <si>
    <t>GC transit (was MW core transit)</t>
  </si>
  <si>
    <t>GC set (was MW core set)</t>
  </si>
  <si>
    <t>GC (Galactic Centre) times (placeholders; push from Astro.bas)</t>
  </si>
  <si>
    <t>192.168.1.97</t>
  </si>
  <si>
    <t>rosedale close test, 30/5</t>
  </si>
  <si>
    <t>tv0.5, 0.4 alternating</t>
  </si>
  <si>
    <t>2 sec interval</t>
  </si>
  <si>
    <t>file=SOAK_010.CSV rows=8146 dur_s=7485</t>
  </si>
  <si>
    <t>frames_reported=2880</t>
  </si>
  <si>
    <t>shutter_post=2880 ok=2880 fail=0</t>
  </si>
  <si>
    <t>put_tv=3593 ok=2880</t>
  </si>
  <si>
    <t>get_tv=960 ok=960</t>
  </si>
  <si>
    <t>status_err_total=713</t>
  </si>
  <si>
    <t>rssi min/last/max=-49/-35/-32 hb=711</t>
  </si>
  <si>
    <t>heap_used first/min/max/last=25288/25288/25288/25288 drift=0</t>
  </si>
  <si>
    <t>max_gap_ms=10003 stalls_gt_30s=0</t>
  </si>
  <si>
    <t>WP03</t>
  </si>
  <si>
    <t>GC Az (°)</t>
  </si>
  <si>
    <t>GC Alt (°)</t>
  </si>
  <si>
    <t>Sun Az (°)</t>
  </si>
  <si>
    <t>Sun Alt (°)</t>
  </si>
  <si>
    <t>W</t>
  </si>
  <si>
    <t>t</t>
  </si>
  <si>
    <t>WP02</t>
  </si>
  <si>
    <t>W=1</t>
  </si>
  <si>
    <t>Speed 10 m/hr</t>
  </si>
  <si>
    <t>Speed 20 m/hr</t>
  </si>
  <si>
    <t>Speed 30 m/hr</t>
  </si>
  <si>
    <t>Speed 40 m/hr</t>
  </si>
  <si>
    <t>Speed 50 m/hr</t>
  </si>
  <si>
    <t>Speed 60 m/hr</t>
  </si>
  <si>
    <t>Speed 70 m/hr</t>
  </si>
  <si>
    <t>Speed 80 m/hr</t>
  </si>
  <si>
    <t>Speed 90 m/hr</t>
  </si>
  <si>
    <t>Speed 100 m/hr</t>
  </si>
  <si>
    <t>Steer centre</t>
  </si>
  <si>
    <t>W=2</t>
  </si>
  <si>
    <t>W=3</t>
  </si>
  <si>
    <t>GetCartLog</t>
  </si>
  <si>
    <t>ProcessCartLog</t>
  </si>
  <si>
    <t>GenerateReplayPlan</t>
  </si>
  <si>
    <t>GetGimbalLogToSheet</t>
  </si>
  <si>
    <t>ClearCartLog</t>
  </si>
  <si>
    <t>ClearGimbalLog</t>
  </si>
  <si>
    <t>CartLogSummary</t>
  </si>
  <si>
    <t>Functions:</t>
  </si>
  <si>
    <t>EventDescription</t>
  </si>
  <si>
    <t>TimestampDiff</t>
  </si>
  <si>
    <t>SafeDouble</t>
  </si>
  <si>
    <t>Steps to move cart-log info into the Cart Plan sheet:</t>
  </si>
  <si>
    <t>1. Clear the CartLog sheet — so the run doesn't stack on an old one (until we fold this into the macro).</t>
  </si>
  <si>
    <t>2. Run GetCartLog — imports the run from the cart into the CartLog sheet.</t>
  </si>
  <si>
    <t>3. Run ProcessCartLog — fills col G "Distance (m)" (BuildPlanFromCartLog refuses to run without this).</t>
  </si>
  <si>
    <t>4. Run BuildPlanFromCartLog — writes the cart plan into the Plan sheet's left zone. If the Plan already has rows, it asks before overwriting — say Yes.</t>
  </si>
  <si>
    <t>Do them in that order. Tell me the result after each, or just shout if any step throws a</t>
  </si>
  <si>
    <t>BuildPlanFromCartLog</t>
  </si>
  <si>
    <t>W=4</t>
  </si>
  <si>
    <t>btnIntegrateBicycle</t>
  </si>
  <si>
    <t>C</t>
  </si>
  <si>
    <t>Heading (deg)</t>
  </si>
  <si>
    <t>WP04</t>
  </si>
  <si>
    <t>RearSteps</t>
  </si>
  <si>
    <t>FrontSteps</t>
  </si>
  <si>
    <t>BNO heading (deg)</t>
  </si>
  <si>
    <t>BNO cal</t>
  </si>
  <si>
    <t>iPhone compass (deg)</t>
  </si>
  <si>
    <t>Compass WP</t>
  </si>
  <si>
    <t>Steer right 5 deg</t>
  </si>
  <si>
    <t>Steer right 10 deg</t>
  </si>
  <si>
    <t>Steer right 15 deg</t>
  </si>
  <si>
    <t>Steer right 20 deg</t>
  </si>
  <si>
    <t>Steer right 25 deg</t>
  </si>
  <si>
    <t>Steer right 30 deg</t>
  </si>
  <si>
    <t>Steer right 35 deg</t>
  </si>
  <si>
    <t>Way01 (recon 4.62962962962963E-05)</t>
  </si>
  <si>
    <t>Way02 (recon 3.35648148148148E-04)</t>
  </si>
  <si>
    <t>Way03 (recon 6.8287037037037E-04)</t>
  </si>
  <si>
    <t>Commences</t>
  </si>
  <si>
    <t>Col</t>
  </si>
  <si>
    <t>Field</t>
  </si>
  <si>
    <t>What you can type</t>
  </si>
  <si>
    <t>M</t>
  </si>
  <si>
    <t>nothing - auto formula (GP01, GP02, ...)</t>
  </si>
  <si>
    <t>N</t>
  </si>
  <si>
    <t>WP, TIME, ASTRO</t>
  </si>
  <si>
    <t>O</t>
  </si>
  <si>
    <t>depends on N: WP -&gt; WP01..WPnn (pulled from the cart plan, col B); ASTRO -&gt; sunset, sunrise, moonrise, moonset, gcrise, gctransit, gcset; TIME -&gt; a time typed as HH:MM</t>
  </si>
  <si>
    <t>P</t>
  </si>
  <si>
    <t>a number of minutes (blank = 0)</t>
  </si>
  <si>
    <t>Q</t>
  </si>
  <si>
    <t>nothing - formula (anchor time + offset)</t>
  </si>
  <si>
    <t>R</t>
  </si>
  <si>
    <t>nothing - formula (gap to next step)</t>
  </si>
  <si>
    <t>Pan Follow, Lock, Move, Track, Track-yaw, END</t>
  </si>
  <si>
    <t>sun, moon, gc</t>
  </si>
  <si>
    <t>U</t>
  </si>
  <si>
    <t>Imperceptible, Cinematic ease, Deliberate pan, Fast, Snap, Computed, dash</t>
  </si>
  <si>
    <t>V</t>
  </si>
  <si>
    <t>Ry (deg)</t>
  </si>
  <si>
    <t>a number, or dash</t>
  </si>
  <si>
    <t>Rp (deg)</t>
  </si>
  <si>
    <t>a number, or dash (in Track-yaw mode this is the absolute pitch)</t>
  </si>
  <si>
    <t>X</t>
  </si>
  <si>
    <t>dyaw (deg)</t>
  </si>
  <si>
    <t>a number (relative yaw move)</t>
  </si>
  <si>
    <t>Y</t>
  </si>
  <si>
    <t>dpitch (deg)</t>
  </si>
  <si>
    <t>a number (relative pitch move)</t>
  </si>
  <si>
    <t>Z</t>
  </si>
  <si>
    <t>none, Just-perceptible, Comfortable, Cinematic, dash</t>
  </si>
  <si>
    <t>AA</t>
  </si>
  <si>
    <t>nothing - derived ("(computed)")</t>
  </si>
  <si>
    <t>AB</t>
  </si>
  <si>
    <t>free text</t>
  </si>
  <si>
    <t>Move</t>
  </si>
  <si>
    <t>Just-perceptible</t>
  </si>
  <si>
    <t>Speed 0 m/hr</t>
  </si>
  <si>
    <t>iPhone compass 180 -&gt; WP1</t>
  </si>
  <si>
    <t>iPhone compass 180 -&gt; WP2</t>
  </si>
  <si>
    <t>iPhone compass 270 -&gt; WP3</t>
  </si>
  <si>
    <t>iPhone compass 270 -&gt; WP4</t>
  </si>
  <si>
    <t>Comfortable</t>
  </si>
  <si>
    <t>Phase 5 â€” Daytime</t>
  </si>
  <si>
    <t>Gimbal Plan - validation</t>
  </si>
  <si>
    <t>Cumulative yaw vs pitch. Re-run after adding/removing plan rows.</t>
  </si>
  <si>
    <t>Fast-yaw threshold (deg/step)</t>
  </si>
  <si>
    <t>Pitch limit (deg)</t>
  </si>
  <si>
    <t>Yaw cable limit (+/- deg)</t>
  </si>
  <si>
    <t>Max |cumulative yaw| (deg)</t>
  </si>
  <si>
    <t>Yaw cable headroom (deg)</t>
  </si>
  <si>
    <t>Max pitch (deg)</t>
  </si>
  <si>
    <t>Fast-yaw steps flagged</t>
  </si>
  <si>
    <t>Cum yaw (deg)</t>
  </si>
  <si>
    <t>Pitch (deg)</t>
  </si>
  <si>
    <t>Yaw step (deg)</t>
  </si>
  <si>
    <t>Fast?</t>
  </si>
  <si>
    <t>Fast pitch</t>
  </si>
  <si>
    <t>limX</t>
  </si>
  <si>
    <t>limY</t>
  </si>
  <si>
    <t xml:space="preserve">cart </t>
  </si>
  <si>
    <t>Gimbal Visual</t>
  </si>
  <si>
    <t>Dir (CW/CCW)</t>
  </si>
  <si>
    <t>CW</t>
  </si>
  <si>
    <t>CCW</t>
  </si>
  <si>
    <t>Moon Az (°)</t>
  </si>
  <si>
    <t>Moon Alt (°)</t>
  </si>
  <si>
    <t>Moon above horizon</t>
  </si>
  <si>
    <t>Get Map</t>
  </si>
  <si>
    <t>http://www.skippysky.com.au/Compact/Australia/Compact_Oz_Stockport.html</t>
  </si>
  <si>
    <t>Prep gimbal ALL</t>
  </si>
  <si>
    <t>Cable Visual</t>
  </si>
  <si>
    <t>CABLEPUSH</t>
  </si>
  <si>
    <t xml:space="preserve">  min=180.0 max=440.0 used=260.0 headroom=190.0</t>
  </si>
  <si>
    <t xml:space="preserve">  points=4 svg_len=611</t>
  </si>
  <si>
    <t>2026-06-07 20:35:10</t>
  </si>
  <si>
    <t>--- PushCableStripToCart start (REAL PUSH) ---</t>
  </si>
  <si>
    <t xml:space="preserve">  GET /settings/cablesvg idx=0 last=0 (150 chars)</t>
  </si>
  <si>
    <t>2026-06-07 20:35:13</t>
  </si>
  <si>
    <t xml:space="preserve">  GET /settings/cablesvg idx=1 last=0 (150 chars)</t>
  </si>
  <si>
    <t>2026-06-07 20:35:17</t>
  </si>
  <si>
    <t xml:space="preserve">  GET /settings/cablesvg idx=2 last=0 (150 chars)</t>
  </si>
  <si>
    <t xml:space="preserve">  GET /settings/cablesvg idx=3 last=0 (150 chars)</t>
  </si>
  <si>
    <t xml:space="preserve">  GET /settings/cablesvg idx=4 last=1 (11 chars)</t>
  </si>
  <si>
    <t>--- end (REAL PUSH, 5 chunk(s)) ---</t>
  </si>
  <si>
    <t>2026-06-07 20:47:38</t>
  </si>
  <si>
    <t>P7</t>
  </si>
  <si>
    <t>--- PushPreviewPlanToCart start (REAL PUSH) ---</t>
  </si>
  <si>
    <t xml:space="preserve">  GP-start GP01 (MOVE) yaw=0.0 pitch=20.0</t>
  </si>
  <si>
    <t xml:space="preserve">  GP-start GP02 (MOVE) yaw=100.0 pitch=30.0</t>
  </si>
  <si>
    <t xml:space="preserve">  GP-start GP03 (MOVE) yaw=170.0 pitch=60.0</t>
  </si>
  <si>
    <t xml:space="preserve">  GP-start GP04 (MOVE) yaw=0.0 pitch=0.0</t>
  </si>
  <si>
    <t xml:space="preserve">  GP-start GP05 (END) yaw=0.0 pitch=0.0</t>
  </si>
  <si>
    <t>Built 5 preview pose(s).</t>
  </si>
  <si>
    <t>GET http://192.168.1.97/settings/previewplan?idx=0&amp;yaw=0.00&amp;pitch=20.00&amp;label=GP01&amp;start=1</t>
  </si>
  <si>
    <t xml:space="preserve">  OK {"count":1,"idx":-1}_x000D_
</t>
  </si>
  <si>
    <t>GET http://192.168.1.97/settings/previewplan?idx=1&amp;yaw=100.00&amp;pitch=30.00&amp;label=GP02&amp;start=1</t>
  </si>
  <si>
    <t xml:space="preserve">  OK {"count":2,"idx":-1}_x000D_
</t>
  </si>
  <si>
    <t>GET http://192.168.1.97/settings/previewplan?idx=2&amp;yaw=170.00&amp;pitch=60.00&amp;label=GP03&amp;start=1</t>
  </si>
  <si>
    <t>2026-06-07 20:47:39</t>
  </si>
  <si>
    <t xml:space="preserve">  OK {"count":3,"idx":-1}_x000D_
</t>
  </si>
  <si>
    <t>GET http://192.168.1.97/settings/previewplan?idx=3&amp;yaw=0.00&amp;pitch=0.00&amp;label=GP04&amp;start=1</t>
  </si>
  <si>
    <t xml:space="preserve">  OK {"count":4,"idx":-1}_x000D_
</t>
  </si>
  <si>
    <t>GET http://192.168.1.97/settings/previewplan?idx=4&amp;yaw=0.00&amp;pitch=0.00&amp;label=GP05&amp;start=1</t>
  </si>
  <si>
    <t xml:space="preserve">  OK {"count":5,"idx":-1}_x000D_
</t>
  </si>
  <si>
    <t>--- PushPreviewPlanToCart end (REAL PUSH, 5 poses) ---</t>
  </si>
  <si>
    <t>2026-06-07 20:47:51</t>
  </si>
  <si>
    <t>2026-06-07 20:47:52</t>
  </si>
  <si>
    <t>2026-06-07 20:58:16</t>
  </si>
  <si>
    <t>2026-06-07 20:58:20</t>
  </si>
  <si>
    <t>2026-06-07 21:16:15</t>
  </si>
  <si>
    <t>2026-06-07 21:16:16</t>
  </si>
  <si>
    <t>2026-06-07 21:16:17</t>
  </si>
  <si>
    <t>2026-06-07 21:16:21</t>
  </si>
  <si>
    <t xml:space="preserve">  points=4 svg_len=1589</t>
  </si>
  <si>
    <t xml:space="preserve">  GET /settings/cablesvg idx=4 last=0 (150 chars)</t>
  </si>
  <si>
    <t xml:space="preserve">  GET /settings/cablesvg idx=5 last=0 (150 chars)</t>
  </si>
  <si>
    <t xml:space="preserve">  GET /settings/cablesvg idx=6 last=0 (150 chars)</t>
  </si>
  <si>
    <t xml:space="preserve">  GET /settings/cablesvg idx=7 last=0 (150 chars)</t>
  </si>
  <si>
    <t xml:space="preserve">  GET /settings/cablesvg idx=8 last=0 (150 chars)</t>
  </si>
  <si>
    <t xml:space="preserve">  GET /settings/cablesvg idx=9 last=0 (150 chars)</t>
  </si>
  <si>
    <t xml:space="preserve">  GET /settings/cablesvg idx=10 last=1 (89 chars)</t>
  </si>
  <si>
    <t>--- end (REAL PUSH, 11 chunk(s)) ---</t>
  </si>
  <si>
    <t>2026-06-07 21:35:57</t>
  </si>
  <si>
    <t>2026-06-07 21:36:00</t>
  </si>
  <si>
    <t>2026-06-07 21:36:01</t>
  </si>
  <si>
    <t>2026-06-07 21:56:51</t>
  </si>
  <si>
    <t>ABORT: cart /status no response at http://192.168.1.97</t>
  </si>
  <si>
    <t>2026-06-07 21:56:55</t>
  </si>
  <si>
    <t xml:space="preserve">  min=0.0 max=170.0 used=170.0 headroom=280.0</t>
  </si>
  <si>
    <t xml:space="preserve">  points=4 svg_len=1580</t>
  </si>
  <si>
    <t xml:space="preserve">    HTTP 0</t>
  </si>
  <si>
    <t>2026-06-07 21:58:06</t>
  </si>
  <si>
    <t>2026-06-07 21:58:08</t>
  </si>
  <si>
    <t>2026-06-07 21:58:13</t>
  </si>
  <si>
    <t xml:space="preserve">  GET /settings/cablesvg idx=10 last=1 (80 chars)</t>
  </si>
  <si>
    <t>2026-06-08 13:53:46</t>
  </si>
  <si>
    <t>PREP</t>
  </si>
  <si>
    <t>UTILS</t>
  </si>
  <si>
    <t>Sun (local): rise=07:21 set=17:10 civDusk=17:38 astroDusk=18:41</t>
  </si>
  <si>
    <t>Moon (local): rise=00:25 set=12:48</t>
  </si>
  <si>
    <t>GetSunsetTime ok</t>
  </si>
  <si>
    <t>SEQ</t>
  </si>
  <si>
    <t>Phase times calculated from sunset 17:10:28</t>
  </si>
  <si>
    <t>ASTRO</t>
  </si>
  <si>
    <t>GC table generated -- 97 rows</t>
  </si>
  <si>
    <t>2026-06-08 13:53:48</t>
  </si>
  <si>
    <t>CAMERA</t>
  </si>
  <si>
    <t>2026-06-08 13:54:09</t>
  </si>
  <si>
    <t xml:space="preserve">PUT /ccapi/ver100/shooting/settings/shootingmode - Connection failed: The operation timed out_x000D_
</t>
  </si>
  <si>
    <t>2026-06-08 13:54:32</t>
  </si>
  <si>
    <t xml:space="preserve">GET /ccapi/ver100/shooting/settings/tv - Connection failed: The operation timed out_x000D_
</t>
  </si>
  <si>
    <t>Tv lookup fallback used (60 values)</t>
  </si>
  <si>
    <t>InitShoot complete. Sunset: 17:10:28</t>
  </si>
  <si>
    <t>2026-06-08 13:54:35</t>
  </si>
  <si>
    <t>InitShoot ok</t>
  </si>
  <si>
    <t>2026-06-08 13:54:36</t>
  </si>
  <si>
    <t>GenerateGCTable ok</t>
  </si>
  <si>
    <t>ASTROPUSH</t>
  </si>
  <si>
    <t>darkEnd shifted +24h (workaround #57)</t>
  </si>
  <si>
    <t>Sun rise  yaw=62.2 pitch=-0.9</t>
  </si>
  <si>
    <t>Sun set   yaw=297.9 pitch=-0.9</t>
  </si>
  <si>
    <t>MW rise 18:41 yaw=116.0 pitch=13.8</t>
  </si>
  <si>
    <t>MW mid  00:56 yaw=356.5 pitch=83.4</t>
  </si>
  <si>
    <t>MW end  05:51 yaw=253.0 pitch=28.3</t>
  </si>
  <si>
    <t>Moon rise 00:25 yaw=92.8 pitch=-0.5</t>
  </si>
  <si>
    <t>Moon set  12:48 yaw=271.2 pitch=-0.5</t>
  </si>
  <si>
    <t>GET http://192.168.1.97/settings/astropos?sry=62.20&amp;srp=-0.86&amp;ssy=297.86&amp;ssp=-0.85&amp;mry=115.99&amp;mrp=13.81&amp;mmy=356.51&amp;mmp=83.35&amp;mey=253.02&amp;mep=28.26&amp;mnry=92.76&amp;mnrp=-0.53&amp;mnsy=271.21&amp;mnsp=-0.48</t>
  </si>
  <si>
    <t xml:space="preserve">OK {"mask":127,"sun_rise":{"y":62.20,"p":-0.86},"sun_set":{"y":297.86,"p":-0.85},"moon_rise":{"y":92.76,"p":-0.53},"moon_set":{"y":271.21,"p":-0.48},"mw_rise":{"y":115.99,"p":13.81},"mw_mid":{"y":356.51,"p":83.35},"mw_end":{"y":253.02,"p":28.26}}_x000D_
</t>
  </si>
  <si>
    <t>2026-06-08 13:54:38</t>
  </si>
  <si>
    <t>PushAstroToCart ok</t>
  </si>
  <si>
    <t>TRACKPUSH</t>
  </si>
  <si>
    <t>sun seg 0 pushed (ts=11750 te=37278)</t>
  </si>
  <si>
    <t>sun seg 1 pushed (ts=37278 te=62806)</t>
  </si>
  <si>
    <t>mw seg 0 pushed (ts=17206 te=37306)</t>
  </si>
  <si>
    <t>mw seg 1 FREEZE yaw=48.9</t>
  </si>
  <si>
    <t>mw seg 1 pushed (ts=37306 te=57406)</t>
  </si>
  <si>
    <t>moon seg 0 pushed (ts=17206 te=37306)</t>
  </si>
  <si>
    <t>moon seg 1 pushed (ts=37306 te=57406)</t>
  </si>
  <si>
    <t>2026-06-08 13:54:39</t>
  </si>
  <si>
    <t>PushTrackPathsToCart ok</t>
  </si>
  <si>
    <t>Fetch Gimbal Map skipped (map.png present)</t>
  </si>
  <si>
    <t>2026-06-08 13:54:48</t>
  </si>
  <si>
    <t>RenderPlanView ok</t>
  </si>
  <si>
    <t>2026-06-08 13:54:55</t>
  </si>
  <si>
    <t>BTN</t>
  </si>
  <si>
    <t>RunButton PrepShoot failed: Application-defined or object-defined error</t>
  </si>
  <si>
    <t>2026-06-08 14:19:14</t>
  </si>
  <si>
    <t>2026-06-08 14:19:47</t>
  </si>
  <si>
    <t>Mode set to m</t>
  </si>
  <si>
    <t>Av set to f1.8</t>
  </si>
  <si>
    <t>ISO set to 100</t>
  </si>
  <si>
    <t>Tv set to 1/5000</t>
  </si>
  <si>
    <t>Camera initialised: M f1.8 ISO100 1/5000</t>
  </si>
  <si>
    <t>Init OK 14:19:47</t>
  </si>
  <si>
    <t>Tv lookup populated from camera: 60 values</t>
  </si>
  <si>
    <t>2026-06-08 14:19:49</t>
  </si>
  <si>
    <t>2026-06-08 14:19:50</t>
  </si>
  <si>
    <t>2026-06-08 14:19:52</t>
  </si>
  <si>
    <t>sun seg 0 pushed (ts=10236 te=35764)</t>
  </si>
  <si>
    <t>sun seg 1 pushed (ts=35764 te=61292)</t>
  </si>
  <si>
    <t>mw seg 0 pushed (ts=15692 te=35792)</t>
  </si>
  <si>
    <t>mw seg 1 pushed (ts=35792 te=55892)</t>
  </si>
  <si>
    <t>moon seg 0 pushed (ts=15692 te=35792)</t>
  </si>
  <si>
    <t>moon seg 1 pushed (ts=35792 te=55892)</t>
  </si>
  <si>
    <t>2026-06-08 14:19:53</t>
  </si>
  <si>
    <t>2026-06-08 14:20:03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</si>
</sst>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hh:mm:ss"/>
    <numFmt numFmtId="165" formatCode="hh:mm"/>
    <numFmt numFmtId="166" formatCode="[$-F800]dddd\,\ mmmm\ dd\,\ yyyy"/>
    <numFmt numFmtId="167" formatCode="0.000"/>
    <numFmt numFmtId="168" formatCode="[$-F400]h:mm:ss\ AM/PM"/>
  </numFmts>
  <fonts count="30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4"/>
      <name val="Cambria"/>
      <charset val="1"/>
    </font>
    <font>
      <b/>
      <sz val="11"/>
      <name val="Cambria"/>
      <charset val="1"/>
    </font>
    <font>
      <b/>
      <sz val="11"/>
      <name val="Calibri"/>
    </font>
    <font>
      <b/>
      <i/>
      <sz val="11"/>
      <name val="Cambria"/>
      <charset val="1"/>
    </font>
    <font>
      <sz val="11"/>
      <name val="Calibri"/>
    </font>
    <font>
      <sz val="10"/>
      <color rgb="FF000000"/>
      <name val="Arial Unicode MS"/>
    </font>
    <font>
      <b/>
      <i/>
      <sz val="11"/>
      <name val="Cambria"/>
      <family val="1"/>
    </font>
    <font>
      <sz val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00406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6E5C8"/>
        <bgColor rgb="FFDDDDDD"/>
      </patternFill>
    </fill>
    <fill>
      <patternFill patternType="solid">
        <fgColor rgb="FFE0E0E0"/>
      </patternFill>
    </fill>
    <fill>
      <patternFill patternType="solid">
        <fgColor rgb="FFF5F5F5"/>
        <bgColor rgb="FFF0F0F0"/>
      </patternFill>
    </fill>
    <fill>
      <patternFill patternType="solid">
        <fgColor rgb="FFDDDDDD"/>
        <bgColor rgb="FFE5D8C8"/>
      </patternFill>
    </fill>
    <fill>
      <patternFill patternType="solid">
        <fgColor rgb="FFF5F5F5"/>
      </patternFill>
    </fill>
    <fill>
      <patternFill patternType="solid">
        <fgColor rgb="FFDDDDDD"/>
      </patternFill>
    </fill>
    <fill>
      <patternFill patternType="solid">
        <fgColor rgb="FFFFFFEE"/>
        <bgColor rgb="FFF5F5F5"/>
      </patternFill>
    </fill>
    <fill>
      <patternFill patternType="solid">
        <fgColor rgb="FFFFFFEE"/>
      </patternFill>
    </fill>
    <fill>
      <patternFill patternType="solid">
        <fgColor rgb="FFF0F0F0"/>
        <bgColor rgb="FFF5F5F5"/>
      </patternFill>
    </fill>
    <fill>
      <patternFill patternType="solid">
        <fgColor rgb="FFFFFFEE"/>
        <bgColor rgb="FFF0F0F0"/>
      </patternFill>
    </fill>
    <fill>
      <patternFill patternType="solid">
        <fgColor theme="0" tint="-0.14999847407452621"/>
        <bgColor rgb="FFF0F0F0"/>
      </patternFill>
    </fill>
    <fill>
      <patternFill patternType="solid">
        <fgColor rgb="FFFFFFCC"/>
        <bgColor indexed="64"/>
      </patternFill>
    </fill>
    <fill>
      <patternFill patternType="solid">
        <fgColor rgb="FFFFBB00"/>
        <bgColor indexed="64"/>
      </patternFill>
    </fill>
  </fills>
  <borders count="17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17" fillId="0" borderId="0"/>
  </cellStyleXfs>
  <cellXfs count="93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4" fontId="3" fillId="4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7" fillId="4" borderId="1" xfId="1" applyFill="1" applyBorder="1" applyAlignment="1">
      <alignment horizontal="left" vertical="center"/>
    </xf>
    <xf numFmtId="22" fontId="0" fillId="0" borderId="0" xfId="0" applyNumberFormat="1"/>
    <xf numFmtId="165" fontId="0" fillId="0" borderId="0" xfId="0" applyNumberFormat="1"/>
    <xf numFmtId="21" fontId="6" fillId="7" borderId="1" xfId="0" applyNumberFormat="1" applyFont="1" applyFill="1" applyBorder="1" applyAlignment="1">
      <alignment horizontal="center" vertical="center" wrapText="1"/>
    </xf>
    <xf numFmtId="49" fontId="6" fillId="7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8" fillId="4" borderId="1" xfId="0" quotePrefix="1" applyNumberFormat="1" applyFont="1" applyFill="1" applyBorder="1" applyAlignment="1">
      <alignment horizontal="left" vertical="center"/>
    </xf>
    <xf numFmtId="0" fontId="9" fillId="0" borderId="0" xfId="0" applyFont="1"/>
    <xf numFmtId="0" fontId="10" fillId="11" borderId="10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8" fillId="4" borderId="0" xfId="0" applyFont="1" applyFill="1" applyAlignment="1">
      <alignment horizontal="left" vertical="center"/>
    </xf>
    <xf numFmtId="166" fontId="0" fillId="0" borderId="0" xfId="0" applyNumberFormat="1"/>
    <xf numFmtId="22" fontId="0" fillId="12" borderId="9" xfId="0" applyNumberFormat="1" applyFill="1" applyBorder="1"/>
    <xf numFmtId="0" fontId="13" fillId="0" borderId="0" xfId="0" applyFont="1"/>
    <xf numFmtId="2" fontId="0" fillId="0" borderId="0" xfId="0" applyNumberFormat="1"/>
    <xf numFmtId="0" fontId="11" fillId="0" borderId="0" xfId="0" applyFont="1"/>
    <xf numFmtId="0" fontId="10" fillId="11" borderId="9" xfId="0" applyFont="1" applyFill="1" applyBorder="1"/>
    <xf numFmtId="0" fontId="14" fillId="0" borderId="0" xfId="0" applyFont="1"/>
    <xf numFmtId="0" fontId="16" fillId="13" borderId="9" xfId="0" applyFont="1" applyFill="1" applyBorder="1"/>
    <xf numFmtId="0" fontId="16" fillId="13" borderId="10" xfId="0" applyFont="1" applyFill="1" applyBorder="1"/>
    <xf numFmtId="0" fontId="16" fillId="13" borderId="12" xfId="0" applyFont="1" applyFill="1" applyBorder="1"/>
    <xf numFmtId="0" fontId="16" fillId="13" borderId="13" xfId="0" applyFont="1" applyFill="1" applyBorder="1"/>
    <xf numFmtId="0" fontId="10" fillId="11" borderId="9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5" fillId="11" borderId="10" xfId="0" applyFont="1" applyFill="1" applyBorder="1" applyAlignment="1">
      <alignment horizontal="center" vertical="center"/>
    </xf>
    <xf numFmtId="0" fontId="18" fillId="0" borderId="0" xfId="2" applyFont="1"/>
    <xf numFmtId="0" fontId="17" fillId="0" borderId="0" xfId="2"/>
    <xf numFmtId="0" fontId="21" fillId="16" borderId="14" xfId="2" applyFont="1" applyFill="1" applyBorder="1" applyAlignment="1">
      <alignment horizontal="center"/>
    </xf>
    <xf numFmtId="0" fontId="19" fillId="17" borderId="14" xfId="2" applyFont="1" applyFill="1" applyBorder="1" applyAlignment="1">
      <alignment horizontal="center"/>
    </xf>
    <xf numFmtId="0" fontId="20" fillId="18" borderId="14" xfId="2" applyFont="1" applyFill="1" applyBorder="1" applyAlignment="1">
      <alignment horizontal="center"/>
    </xf>
    <xf numFmtId="0" fontId="20" fillId="19" borderId="14" xfId="2" applyFont="1" applyFill="1" applyBorder="1" applyAlignment="1">
      <alignment horizontal="center"/>
    </xf>
    <xf numFmtId="0" fontId="22" fillId="0" borderId="14" xfId="2" applyFont="1" applyBorder="1"/>
    <xf numFmtId="0" fontId="17" fillId="20" borderId="14" xfId="2" applyFill="1" applyBorder="1" applyAlignment="1">
      <alignment horizontal="center"/>
    </xf>
    <xf numFmtId="0" fontId="22" fillId="18" borderId="14" xfId="2" applyFont="1" applyFill="1" applyBorder="1" applyAlignment="1">
      <alignment horizontal="center"/>
    </xf>
    <xf numFmtId="0" fontId="22" fillId="21" borderId="14" xfId="2" applyFont="1" applyFill="1" applyBorder="1"/>
    <xf numFmtId="165" fontId="22" fillId="18" borderId="14" xfId="2" applyNumberFormat="1" applyFont="1" applyFill="1" applyBorder="1"/>
    <xf numFmtId="0" fontId="22" fillId="18" borderId="14" xfId="2" applyFont="1" applyFill="1" applyBorder="1"/>
    <xf numFmtId="0" fontId="17" fillId="22" borderId="14" xfId="2" applyFill="1" applyBorder="1" applyAlignment="1">
      <alignment horizontal="center"/>
    </xf>
    <xf numFmtId="0" fontId="22" fillId="21" borderId="0" xfId="2" applyFont="1" applyFill="1"/>
    <xf numFmtId="0" fontId="22" fillId="0" borderId="0" xfId="2" applyFont="1"/>
    <xf numFmtId="0" fontId="19" fillId="0" borderId="0" xfId="2" applyFont="1"/>
    <xf numFmtId="0" fontId="17" fillId="22" borderId="0" xfId="2" applyFill="1"/>
    <xf numFmtId="1" fontId="0" fillId="0" borderId="0" xfId="0" applyNumberFormat="1"/>
    <xf numFmtId="0" fontId="23" fillId="0" borderId="0" xfId="0" applyFont="1" applyAlignment="1">
      <alignment vertical="center"/>
    </xf>
    <xf numFmtId="0" fontId="10" fillId="11" borderId="11" xfId="0" applyFont="1" applyFill="1" applyBorder="1" applyAlignment="1">
      <alignment horizontal="center" vertical="center"/>
    </xf>
    <xf numFmtId="0" fontId="22" fillId="0" borderId="0" xfId="2" applyFont="1" applyAlignment="1">
      <alignment horizontal="center"/>
    </xf>
    <xf numFmtId="0" fontId="22" fillId="0" borderId="0" xfId="2" quotePrefix="1" applyFont="1" applyAlignment="1">
      <alignment horizontal="center"/>
    </xf>
    <xf numFmtId="0" fontId="17" fillId="23" borderId="14" xfId="2" applyFill="1" applyBorder="1" applyAlignment="1">
      <alignment horizontal="center"/>
    </xf>
    <xf numFmtId="167" fontId="17" fillId="23" borderId="14" xfId="2" applyNumberFormat="1" applyFill="1" applyBorder="1" applyAlignment="1">
      <alignment horizontal="center"/>
    </xf>
    <xf numFmtId="0" fontId="24" fillId="16" borderId="14" xfId="2" applyFont="1" applyFill="1" applyBorder="1" applyAlignment="1">
      <alignment horizontal="center"/>
    </xf>
    <xf numFmtId="164" fontId="17" fillId="24" borderId="14" xfId="2" applyNumberFormat="1" applyFill="1" applyBorder="1" applyAlignment="1">
      <alignment horizontal="center" wrapText="1"/>
    </xf>
    <xf numFmtId="164" fontId="17" fillId="24" borderId="14" xfId="2" applyNumberFormat="1" applyFill="1" applyBorder="1" applyAlignment="1">
      <alignment horizontal="center"/>
    </xf>
    <xf numFmtId="168" fontId="0" fillId="12" borderId="9" xfId="0" applyNumberFormat="1" applyFill="1" applyBorder="1"/>
    <xf numFmtId="0" fontId="26" fillId="0" borderId="0" xfId="0" applyFont="1"/>
    <xf numFmtId="0" fontId="27" fillId="25" borderId="0" xfId="0" applyFont="1" applyFill="1"/>
    <xf numFmtId="0" fontId="13" fillId="0" borderId="16" xfId="0" applyFont="1" applyBorder="1"/>
    <xf numFmtId="0" fontId="28" fillId="0" borderId="0" xfId="2" applyFont="1"/>
    <xf numFmtId="0" fontId="10" fillId="11" borderId="15" xfId="0" applyFont="1" applyFill="1" applyBorder="1" applyAlignment="1">
      <alignment horizontal="center" vertical="center"/>
    </xf>
    <xf numFmtId="0" fontId="7" fillId="0" borderId="0" xfId="1"/>
    <xf numFmtId="0" fontId="15" fillId="11" borderId="1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19" fillId="14" borderId="0" xfId="2" applyFont="1" applyFill="1" applyAlignment="1">
      <alignment horizontal="center"/>
    </xf>
    <xf numFmtId="0" fontId="17" fillId="0" borderId="0" xfId="2"/>
    <xf numFmtId="0" fontId="20" fillId="15" borderId="0" xfId="2" applyFont="1" applyFill="1" applyAlignment="1">
      <alignment horizontal="center"/>
    </xf>
    <xf numFmtId="0" fontId="5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8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29" fillId="26" borderId="9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2041AF8A-920C-4410-9914-F19718369982}"/>
  </cellStyles>
  <dxfs count="3"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Cart trace (rear axle, 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Trace</c:v>
          </c:tx>
          <c:marker>
            <c:symbol val="circle"/>
            <c:size val="4"/>
          </c:marker>
          <c:dLbls>
            <c:dLbl>
              <c:idx val="0"/>
              <c:tx>
                <c:rich>
                  <a:bodyPr/>
                  <a:lstStyle/>
                  <a:p>
                    <a:fld id="{FC0E0AE9-42E9-47D4-8E5A-E485035AA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CD0-4323-961E-0D1A60F1E5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DB9056-0B1E-49B4-9C57-B42ADB24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D0-4323-961E-0D1A60F1E5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2196E2-BCA3-4CD3-8B1F-09D96B735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CD0-4323-961E-0D1A60F1E5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E4D5ED-85DE-4B48-9B57-DF4A8BD75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5CD0-4323-961E-0D1A60F1E5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33B4871-D598-4EF7-99B0-F6C07139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5CD0-4323-961E-0D1A60F1E5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A38E08-7CDF-4438-BFEA-4CAF9C9E5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5CD0-4323-961E-0D1A60F1E5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187BD7-6EDB-4018-B7A9-8E85FF8C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5CD0-4323-961E-0D1A60F1E5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55A31C-2201-4B62-8EBB-1E037BC07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5CD0-4323-961E-0D1A60F1E5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85F3C4-44D2-4D10-A9A8-E0E50F414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5CD0-4323-961E-0D1A60F1E5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E99D9A3-BF41-4BAE-A0B0-3D3A8D903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5CD0-4323-961E-0D1A60F1E5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7ECBD5A-6B85-48AE-9FB3-9BFAA7C3B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5CD0-4323-961E-0D1A60F1E5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A8E103-17C1-4DE7-9B64-93A8D3A5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5CD0-4323-961E-0D1A60F1E5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FA6526-7E0F-4323-BAF5-EB89EE4DA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5CD0-4323-961E-0D1A60F1E5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5F5370-A16E-42D3-9536-9D10DC333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5CD0-4323-961E-0D1A60F1E5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7E225D-B9B1-463C-AF47-AE9E0B094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5CD0-4323-961E-0D1A60F1E5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34B33F-F11C-419F-B741-1E483E9E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5CD0-4323-961E-0D1A60F1E5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F1FD34-3C15-46F9-8EB6-59F8AD5DE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5CD0-4323-961E-0D1A60F1E5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1494B81-FB3E-4F37-AFB0-430D4ED5C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D0-4323-961E-0D1A60F1E5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D30A31-E01C-441C-A378-F0975E2BE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D0-4323-961E-0D1A60F1E5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6E3F60-27B3-4042-BB19-5D8022C9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D0-4323-961E-0D1A60F1E5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D655DF-6CE1-4384-880B-BA7F6BE25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D0-4323-961E-0D1A60F1E5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1039A2-D289-4907-84E6-950361670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D0-4323-961E-0D1A60F1E5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8F199F-7E51-4BF0-8150-712D5E1A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D0-4323-961E-0D1A60F1E5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CB7704-5AB5-46E6-B9E7-791A430B1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D0-4323-961E-0D1A60F1E5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1C5959D-260A-4E7F-BFE4-5885560B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5CD0-4323-961E-0D1A60F1E5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531AB0-A500-45C0-BAD3-EF327FD08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5CD0-4323-961E-0D1A60F1E5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4DE8690-E819-4028-BFEA-FCB0B281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D0-4323-961E-0D1A60F1E5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53505F-5D9F-4FFC-B7CA-FA182C7E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5CD0-4323-961E-0D1A60F1E5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5589B46-A51F-4CA3-ACA9-003CB4CFE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5CD0-4323-961E-0D1A60F1E5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BC8C1AB-30FC-4B16-B1DA-78CD0494F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5CD0-4323-961E-0D1A60F1E5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2566C4-AF86-42A3-8497-6CAE27D7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5CD0-4323-961E-0D1A60F1E5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75D0A4-344C-4616-9284-740BD3A8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5CD0-4323-961E-0D1A60F1E5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277E83-7BD7-4842-A286-83AD488AE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5CD0-4323-961E-0D1A60F1E5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E108D7-FBC1-4AE2-AE67-E3E4C42FE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5CD0-4323-961E-0D1A60F1E5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4A1E8E4-8605-4801-B6B2-EE780561B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5CD0-4323-961E-0D1A60F1E5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D33568-FA2B-458D-BDFF-C3B445A3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5CD0-4323-961E-0D1A60F1E5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B68EA5D-B30E-467E-AE26-98572DF9F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5CD0-4323-961E-0D1A60F1E5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222A91-BCBC-405E-8C08-DD901A359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5CD0-4323-961E-0D1A60F1E5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430769-602C-4B24-8D35-7D6E924AD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5CD0-4323-961E-0D1A60F1E5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C39875-5AAA-48BA-9518-316084B0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5CD0-4323-961E-0D1A60F1E5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16C856-875B-4ABF-83A9-B4D19FDB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5CD0-4323-961E-0D1A60F1E5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9B7F11-B584-406D-8688-187DEE7D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5CD0-4323-961E-0D1A60F1E5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9056AF-33DF-41BD-8E8C-18A934196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5CD0-4323-961E-0D1A60F1E5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CC9008-A61D-43BC-A6B3-433749EB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5CD0-4323-961E-0D1A60F1E5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4538F6-B97D-4628-930B-85923ED2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5CD0-4323-961E-0D1A60F1E5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DF3C7F-0C8A-4722-9D30-D6E19EC6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5CD0-4323-961E-0D1A60F1E5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AACC80-07B4-44FD-80EB-552F4BFC5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5CD0-4323-961E-0D1A60F1E5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8BA8440-A23E-441D-8101-F5EE79895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5CD0-4323-961E-0D1A60F1E5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B5C84F2-5241-4A82-AC06-459125B26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5CD0-4323-961E-0D1A60F1E5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8F10DDA-034E-46E2-8CD4-2BEE3267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5CD0-4323-961E-0D1A60F1E5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DC6538-F31F-40CC-8966-16BE2E16C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5CD0-4323-961E-0D1A60F1E5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9A7A01-D0F5-4819-9404-5562BA27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5CD0-4323-961E-0D1A60F1E5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980F8E-04C8-4CE6-A1BA-70F4A4EBC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5CD0-4323-961E-0D1A60F1E5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492414-8173-48E8-866D-D2029F1CF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5CD0-4323-961E-0D1A60F1E5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7691FB4-B73A-49C8-B15C-42293344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5CD0-4323-961E-0D1A60F1E5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DD392F4-9684-48F8-A670-3BB7B994D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5CD0-4323-961E-0D1A60F1E5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335FA2C-4DBA-4FD1-8546-D6A63F91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5CD0-4323-961E-0D1A60F1E5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6555A95-AE9E-40E5-BC5D-18FA72F8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5CD0-4323-961E-0D1A60F1E5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4C81E9A-863C-4AF4-B739-88ACCC83F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5CD0-4323-961E-0D1A60F1E5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D279897-2C9D-43BD-B21D-21D14067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5CD0-4323-961E-0D1A60F1E5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0878375-4F6C-4A5A-9D26-96D012899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D0-4323-961E-0D1A60F1E5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EB333F-96AF-49CF-860E-4F79AAFF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5CD0-4323-961E-0D1A60F1E5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6FD0D8-9A22-49BE-90D0-A93463EC4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D0-4323-961E-0D1A60F1E5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F68C7E-0F84-4E14-9E30-60A5BB175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2-5CD0-4323-961E-0D1A60F1E5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DB864E5-B2CD-49A9-ACE0-6A9ED7B62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5CD0-4323-961E-0D1A60F1E5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E5DD83-D48F-48AA-A914-FACCE1BAE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5CD0-4323-961E-0D1A60F1E5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Trace!$B$2:$B$67</c:f>
              <c:numCache>
                <c:formatCode>0.00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9.2021418959680132E-20</c:v>
                </c:pt>
                <c:pt idx="4">
                  <c:v>6.9016064219760103E-19</c:v>
                </c:pt>
                <c:pt idx="5" formatCode="General">
                  <c:v>1.2422891559556818E-18</c:v>
                </c:pt>
                <c:pt idx="6" formatCode="General">
                  <c:v>1.6563855412742424E-18</c:v>
                </c:pt>
                <c:pt idx="7" formatCode="General">
                  <c:v>3.6003380167974856E-18</c:v>
                </c:pt>
                <c:pt idx="8" formatCode="General">
                  <c:v>5.0381726880424875E-18</c:v>
                </c:pt>
                <c:pt idx="9" formatCode="General">
                  <c:v>8.6385107048399731E-18</c:v>
                </c:pt>
                <c:pt idx="10" formatCode="General">
                  <c:v>1.2003043835553278E-17</c:v>
                </c:pt>
                <c:pt idx="11" formatCode="General">
                  <c:v>1.8691850726185026E-17</c:v>
                </c:pt>
                <c:pt idx="12" formatCode="General">
                  <c:v>2.5518689745256296E-17</c:v>
                </c:pt>
                <c:pt idx="13" formatCode="General">
                  <c:v>3.0528105739873884E-17</c:v>
                </c:pt>
                <c:pt idx="14" formatCode="General">
                  <c:v>4.1139325613661998E-17</c:v>
                </c:pt>
                <c:pt idx="15" formatCode="General">
                  <c:v>3.4535063401699457E-16</c:v>
                </c:pt>
                <c:pt idx="16" formatCode="General">
                  <c:v>1.0241696363278151E-15</c:v>
                </c:pt>
                <c:pt idx="17" formatCode="General">
                  <c:v>2.5572924869055658E-15</c:v>
                </c:pt>
                <c:pt idx="18" formatCode="General">
                  <c:v>-1.4491935498845958E-5</c:v>
                </c:pt>
                <c:pt idx="19" formatCode="General">
                  <c:v>-1.2032438074806057E-4</c:v>
                </c:pt>
                <c:pt idx="20" formatCode="General">
                  <c:v>-2.5986370236516678E-4</c:v>
                </c:pt>
                <c:pt idx="21" formatCode="General">
                  <c:v>-6.9171559710565211E-4</c:v>
                </c:pt>
                <c:pt idx="22" formatCode="General">
                  <c:v>-1.2673031429824922E-3</c:v>
                </c:pt>
                <c:pt idx="23" formatCode="General">
                  <c:v>-2.1744932267228037E-3</c:v>
                </c:pt>
                <c:pt idx="24" formatCode="General">
                  <c:v>-5.3760173200630102E-3</c:v>
                </c:pt>
                <c:pt idx="25" formatCode="General">
                  <c:v>-1.0349913275575056E-2</c:v>
                </c:pt>
                <c:pt idx="26" formatCode="General">
                  <c:v>-1.5722032259689451E-2</c:v>
                </c:pt>
                <c:pt idx="27" formatCode="General">
                  <c:v>-2.7554638212066142E-2</c:v>
                </c:pt>
                <c:pt idx="28" formatCode="General">
                  <c:v>-4.2757308676001665E-2</c:v>
                </c:pt>
                <c:pt idx="29" formatCode="General">
                  <c:v>-6.8638913833931295E-2</c:v>
                </c:pt>
                <c:pt idx="30" formatCode="General">
                  <c:v>-0.10052531351389625</c:v>
                </c:pt>
                <c:pt idx="31" formatCode="General">
                  <c:v>-0.13828651790660593</c:v>
                </c:pt>
                <c:pt idx="32" formatCode="General">
                  <c:v>-0.18176858765838952</c:v>
                </c:pt>
                <c:pt idx="33" formatCode="General">
                  <c:v>-0.2307942614286336</c:v>
                </c:pt>
                <c:pt idx="34" formatCode="General">
                  <c:v>-0.28516367852288155</c:v>
                </c:pt>
                <c:pt idx="35" formatCode="General">
                  <c:v>-0.34465519365567376</c:v>
                </c:pt>
                <c:pt idx="36" formatCode="General">
                  <c:v>-0.40902628052162088</c:v>
                </c:pt>
                <c:pt idx="37" formatCode="General">
                  <c:v>-0.47801452049116505</c:v>
                </c:pt>
                <c:pt idx="38" formatCode="General">
                  <c:v>-0.5513386724004562</c:v>
                </c:pt>
                <c:pt idx="39" formatCode="General">
                  <c:v>-0.62869981907418515</c:v>
                </c:pt>
                <c:pt idx="40" formatCode="General">
                  <c:v>-0.70978258590739252</c:v>
                </c:pt>
                <c:pt idx="41" formatCode="General">
                  <c:v>-0.79425642653851902</c:v>
                </c:pt>
                <c:pt idx="42" formatCode="General">
                  <c:v>-0.88177697037245417</c:v>
                </c:pt>
                <c:pt idx="43" formatCode="General">
                  <c:v>-0.97198742646019753</c:v>
                </c:pt>
                <c:pt idx="44" formatCode="General">
                  <c:v>-1.0645200380120019</c:v>
                </c:pt>
                <c:pt idx="45" formatCode="General">
                  <c:v>-1.1589975816144513</c:v>
                </c:pt>
                <c:pt idx="46" formatCode="General">
                  <c:v>-1.2550349050396861</c:v>
                </c:pt>
                <c:pt idx="47" formatCode="General">
                  <c:v>-1.3522404973776578</c:v>
                </c:pt>
                <c:pt idx="48" formatCode="General">
                  <c:v>-1.4502180850905306</c:v>
                </c:pt>
                <c:pt idx="49" formatCode="General">
                  <c:v>-1.5485682474826654</c:v>
                </c:pt>
                <c:pt idx="50" formatCode="General">
                  <c:v>-1.646890045000478</c:v>
                </c:pt>
                <c:pt idx="51" formatCode="General">
                  <c:v>-1.744782653724154</c:v>
                </c:pt>
                <c:pt idx="52" formatCode="General">
                  <c:v>-1.8418469993879654</c:v>
                </c:pt>
                <c:pt idx="53" formatCode="General">
                  <c:v>-1.9376873842678533</c:v>
                </c:pt>
                <c:pt idx="54" formatCode="General">
                  <c:v>-2.0319131003040192</c:v>
                </c:pt>
                <c:pt idx="55" formatCode="General">
                  <c:v>-2.1241400218823836</c:v>
                </c:pt>
                <c:pt idx="56" formatCode="General">
                  <c:v>-2.2139921717816926</c:v>
                </c:pt>
                <c:pt idx="57" formatCode="General">
                  <c:v>-2.3011032539024479</c:v>
                </c:pt>
                <c:pt idx="58" formatCode="General">
                  <c:v>-2.3851181465292584</c:v>
                </c:pt>
                <c:pt idx="59" formatCode="General">
                  <c:v>-2.4656943500390942</c:v>
                </c:pt>
                <c:pt idx="60" formatCode="General">
                  <c:v>-2.542503383153643</c:v>
                </c:pt>
                <c:pt idx="61" formatCode="General">
                  <c:v>-2.6408206423361209</c:v>
                </c:pt>
                <c:pt idx="62" formatCode="General">
                  <c:v>-2.7418460415918888</c:v>
                </c:pt>
                <c:pt idx="63" formatCode="General">
                  <c:v>-2.7791712765150569</c:v>
                </c:pt>
                <c:pt idx="64" formatCode="General">
                  <c:v>-3.1261664415578863</c:v>
                </c:pt>
                <c:pt idx="65" formatCode="General">
                  <c:v>-3.1261664415578863</c:v>
                </c:pt>
              </c:numCache>
            </c:numRef>
          </c:xVal>
          <c:yVal>
            <c:numRef>
              <c:f>Trace!$C$2:$C$67</c:f>
              <c:numCache>
                <c:formatCode>0.00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-2.8479999999999998E-5</c:v>
                </c:pt>
                <c:pt idx="4">
                  <c:v>-2.1359999999999999E-4</c:v>
                </c:pt>
                <c:pt idx="5" formatCode="General">
                  <c:v>-3.8447999999999998E-4</c:v>
                </c:pt>
                <c:pt idx="6" formatCode="General">
                  <c:v>-5.1263999999999997E-4</c:v>
                </c:pt>
                <c:pt idx="7" formatCode="General">
                  <c:v>-1.11428E-3</c:v>
                </c:pt>
                <c:pt idx="8" formatCode="General">
                  <c:v>-1.5592800000000001E-3</c:v>
                </c:pt>
                <c:pt idx="9" formatCode="General">
                  <c:v>-2.6735600000000002E-3</c:v>
                </c:pt>
                <c:pt idx="10" formatCode="General">
                  <c:v>-3.7148600000000004E-3</c:v>
                </c:pt>
                <c:pt idx="11" formatCode="General">
                  <c:v>-5.7850000000000002E-3</c:v>
                </c:pt>
                <c:pt idx="12" formatCode="General">
                  <c:v>-7.8978599999999996E-3</c:v>
                </c:pt>
                <c:pt idx="13" formatCode="General">
                  <c:v>-9.4482400000000001E-3</c:v>
                </c:pt>
                <c:pt idx="14" formatCode="General">
                  <c:v>-1.273234E-2</c:v>
                </c:pt>
                <c:pt idx="15" formatCode="General">
                  <c:v>-0.10688365999999999</c:v>
                </c:pt>
                <c:pt idx="16" formatCode="General">
                  <c:v>-0.31697350000000002</c:v>
                </c:pt>
                <c:pt idx="17" formatCode="General">
                  <c:v>-0.79146453999999999</c:v>
                </c:pt>
                <c:pt idx="18" formatCode="General">
                  <c:v>-0.80942829220592749</c:v>
                </c:pt>
                <c:pt idx="19" formatCode="General">
                  <c:v>-0.83590911565870818</c:v>
                </c:pt>
                <c:pt idx="20" formatCode="General">
                  <c:v>-0.85216880377077131</c:v>
                </c:pt>
                <c:pt idx="21" formatCode="General">
                  <c:v>-0.87957550866483225</c:v>
                </c:pt>
                <c:pt idx="22" formatCode="General">
                  <c:v>-0.90186782291558532</c:v>
                </c:pt>
                <c:pt idx="23" formatCode="General">
                  <c:v>-0.92600876470047</c:v>
                </c:pt>
                <c:pt idx="24" formatCode="General">
                  <c:v>-0.978250921723547</c:v>
                </c:pt>
                <c:pt idx="25" formatCode="General">
                  <c:v>-1.030354214191181</c:v>
                </c:pt>
                <c:pt idx="26" formatCode="General">
                  <c:v>-1.072755240983531</c:v>
                </c:pt>
                <c:pt idx="27" formatCode="General">
                  <c:v>-1.1444858703700749</c:v>
                </c:pt>
                <c:pt idx="28" formatCode="General">
                  <c:v>-1.2155785744020564</c:v>
                </c:pt>
                <c:pt idx="29" formatCode="General">
                  <c:v>-1.310500490504628</c:v>
                </c:pt>
                <c:pt idx="30" formatCode="General">
                  <c:v>-1.40357726074073</c:v>
                </c:pt>
                <c:pt idx="31" formatCode="General">
                  <c:v>-1.4944294433504319</c:v>
                </c:pt>
                <c:pt idx="32" formatCode="General">
                  <c:v>-1.5826866654471852</c:v>
                </c:pt>
                <c:pt idx="33" formatCode="General">
                  <c:v>-1.6679891328998224</c:v>
                </c:pt>
                <c:pt idx="34" formatCode="General">
                  <c:v>-1.7499890970886336</c:v>
                </c:pt>
                <c:pt idx="35" formatCode="General">
                  <c:v>-1.8283522725560646</c:v>
                </c:pt>
                <c:pt idx="36" formatCode="General">
                  <c:v>-1.9027591997727644</c:v>
                </c:pt>
                <c:pt idx="37" formatCode="General">
                  <c:v>-1.9729065474634593</c:v>
                </c:pt>
                <c:pt idx="38" formatCode="General">
                  <c:v>-2.038508349183517</c:v>
                </c:pt>
                <c:pt idx="39" formatCode="General">
                  <c:v>-2.0992971691051134</c:v>
                </c:pt>
                <c:pt idx="40" formatCode="General">
                  <c:v>-2.1550251922604904</c:v>
                </c:pt>
                <c:pt idx="41" formatCode="General">
                  <c:v>-2.2054652347977597</c:v>
                </c:pt>
                <c:pt idx="42" formatCode="General">
                  <c:v>-2.250411670130795</c:v>
                </c:pt>
                <c:pt idx="43" formatCode="General">
                  <c:v>-2.289681267207615</c:v>
                </c:pt>
                <c:pt idx="44" formatCode="General">
                  <c:v>-2.3231139374799303</c:v>
                </c:pt>
                <c:pt idx="45" formatCode="General">
                  <c:v>-2.3505733875287156</c:v>
                </c:pt>
                <c:pt idx="46" formatCode="General">
                  <c:v>-2.371947674685281</c:v>
                </c:pt>
                <c:pt idx="47" formatCode="General">
                  <c:v>-2.3871496633827674</c:v>
                </c:pt>
                <c:pt idx="48" formatCode="General">
                  <c:v>-2.3961173803776772</c:v>
                </c:pt>
                <c:pt idx="49" formatCode="General">
                  <c:v>-2.3988142673933268</c:v>
                </c:pt>
                <c:pt idx="50" formatCode="General">
                  <c:v>-2.3952293301552809</c:v>
                </c:pt>
                <c:pt idx="51" formatCode="General">
                  <c:v>-2.385377183211201</c:v>
                </c:pt>
                <c:pt idx="52" formatCode="General">
                  <c:v>-2.3692979903523974</c:v>
                </c:pt>
                <c:pt idx="53" formatCode="General">
                  <c:v>-2.3470573008799587</c:v>
                </c:pt>
                <c:pt idx="54" formatCode="General">
                  <c:v>-2.3187457823829525</c:v>
                </c:pt>
                <c:pt idx="55" formatCode="General">
                  <c:v>-2.2844788511180627</c:v>
                </c:pt>
                <c:pt idx="56" formatCode="General">
                  <c:v>-2.2443962014974774</c:v>
                </c:pt>
                <c:pt idx="57" formatCode="General">
                  <c:v>-2.1986612366031486</c:v>
                </c:pt>
                <c:pt idx="58" formatCode="General">
                  <c:v>-2.1474604020490125</c:v>
                </c:pt>
                <c:pt idx="59" formatCode="General">
                  <c:v>-2.0910024259067876</c:v>
                </c:pt>
                <c:pt idx="60" formatCode="General">
                  <c:v>-2.0295174677939078</c:v>
                </c:pt>
                <c:pt idx="61" formatCode="General">
                  <c:v>-1.9455275798760434</c:v>
                </c:pt>
                <c:pt idx="62" formatCode="General">
                  <c:v>-1.8592241980394832</c:v>
                </c:pt>
                <c:pt idx="63" formatCode="General">
                  <c:v>-1.8273382166383298</c:v>
                </c:pt>
                <c:pt idx="64" formatCode="General">
                  <c:v>-1.5309092349689324</c:v>
                </c:pt>
                <c:pt idx="65" formatCode="General">
                  <c:v>-1.5309092349689324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Trace!$H$2:$H$67</c15:f>
                <c15:dlblRangeCache>
                  <c:ptCount val="66"/>
                  <c:pt idx="1">
                    <c:v>3</c:v>
                  </c:pt>
                  <c:pt idx="17">
                    <c:v>19</c:v>
                  </c:pt>
                  <c:pt idx="18">
                    <c:v>20</c:v>
                  </c:pt>
                  <c:pt idx="19">
                    <c:v>21</c:v>
                  </c:pt>
                  <c:pt idx="20">
                    <c:v>22</c:v>
                  </c:pt>
                  <c:pt idx="21">
                    <c:v>23</c:v>
                  </c:pt>
                  <c:pt idx="22">
                    <c:v>24</c:v>
                  </c:pt>
                  <c:pt idx="23">
                    <c:v>25</c:v>
                  </c:pt>
                  <c:pt idx="26">
                    <c:v>27</c:v>
                  </c:pt>
                  <c:pt idx="60">
                    <c:v>29</c:v>
                  </c:pt>
                  <c:pt idx="62">
                    <c:v>31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5CD0-4323-961E-0D1A60F1E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936831"/>
        <c:axId val="1074937311"/>
      </c:scatterChart>
      <c:valAx>
        <c:axId val="1074936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x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4937311"/>
        <c:crosses val="autoZero"/>
        <c:crossBetween val="midCat"/>
      </c:valAx>
      <c:valAx>
        <c:axId val="1074937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4936831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Gimbal Plan - validation (cumulative yaw vs pitch)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Path</c:v>
          </c:tx>
          <c:spPr>
            <a:ln w="25400">
              <a:solidFill>
                <a:srgbClr val="3266AD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266AD"/>
              </a:solidFill>
              <a:ln>
                <a:solidFill>
                  <a:srgbClr val="3266AD"/>
                </a:solidFill>
                <a:prstDash val="solid"/>
              </a:ln>
            </c:spPr>
          </c:marker>
          <c:xVal>
            <c:numRef>
              <c:f>GimbalViz!$C$15:$C$19</c:f>
              <c:numCache>
                <c:formatCode>General</c:formatCode>
                <c:ptCount val="5"/>
                <c:pt idx="0">
                  <c:v>0</c:v>
                </c:pt>
                <c:pt idx="1">
                  <c:v>100</c:v>
                </c:pt>
                <c:pt idx="2">
                  <c:v>270</c:v>
                </c:pt>
                <c:pt idx="3">
                  <c:v>270</c:v>
                </c:pt>
                <c:pt idx="4">
                  <c:v>270</c:v>
                </c:pt>
              </c:numCache>
            </c:numRef>
          </c:xVal>
          <c:yVal>
            <c:numRef>
              <c:f>GimbalViz!$D$15:$D$19</c:f>
              <c:numCache>
                <c:formatCode>General</c:formatCode>
                <c:ptCount val="5"/>
                <c:pt idx="0">
                  <c:v>20</c:v>
                </c:pt>
                <c:pt idx="1">
                  <c:v>50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70-4047-8DCE-ECFF61C16F5E}"/>
            </c:ext>
          </c:extLst>
        </c:ser>
        <c:ser>
          <c:idx val="1"/>
          <c:order val="1"/>
          <c:tx>
            <c:v>Fast yaw</c:v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DC1E1E"/>
              </a:solidFill>
              <a:ln>
                <a:solidFill>
                  <a:srgbClr val="DC1E1E"/>
                </a:solidFill>
                <a:prstDash val="solid"/>
              </a:ln>
            </c:spPr>
          </c:marker>
          <c:xVal>
            <c:numRef>
              <c:f>GimbalViz!$C$15:$C$19</c:f>
              <c:numCache>
                <c:formatCode>General</c:formatCode>
                <c:ptCount val="5"/>
                <c:pt idx="0">
                  <c:v>0</c:v>
                </c:pt>
                <c:pt idx="1">
                  <c:v>100</c:v>
                </c:pt>
                <c:pt idx="2">
                  <c:v>270</c:v>
                </c:pt>
                <c:pt idx="3">
                  <c:v>270</c:v>
                </c:pt>
                <c:pt idx="4">
                  <c:v>270</c:v>
                </c:pt>
              </c:numCache>
            </c:numRef>
          </c:xVal>
          <c:yVal>
            <c:numRef>
              <c:f>GimbalViz!$G$15:$G$19</c:f>
              <c:numCache>
                <c:formatCode>General</c:formatCode>
                <c:ptCount val="5"/>
                <c:pt idx="0">
                  <c:v>#N/A</c:v>
                </c:pt>
                <c:pt idx="1">
                  <c:v>50</c:v>
                </c:pt>
                <c:pt idx="2">
                  <c:v>110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70-4047-8DCE-ECFF61C16F5E}"/>
            </c:ext>
          </c:extLst>
        </c:ser>
        <c:ser>
          <c:idx val="2"/>
          <c:order val="2"/>
          <c:tx>
            <c:v>Pitch limit</c:v>
          </c:tx>
          <c:spPr>
            <a:ln>
              <a:solidFill>
                <a:srgbClr val="8C8C8C"/>
              </a:solidFill>
              <a:prstDash val="lgDash"/>
            </a:ln>
          </c:spPr>
          <c:marker>
            <c:symbol val="none"/>
          </c:marker>
          <c:xVal>
            <c:numRef>
              <c:f>GimbalViz!$I$15:$I$16</c:f>
              <c:numCache>
                <c:formatCode>General</c:formatCode>
                <c:ptCount val="2"/>
                <c:pt idx="0">
                  <c:v>0</c:v>
                </c:pt>
                <c:pt idx="1">
                  <c:v>270</c:v>
                </c:pt>
              </c:numCache>
            </c:numRef>
          </c:xVal>
          <c:yVal>
            <c:numRef>
              <c:f>GimbalViz!$J$15:$J$16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70-4047-8DCE-ECFF61C16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081216"/>
        <c:axId val="1002078816"/>
      </c:scatterChart>
      <c:valAx>
        <c:axId val="1002081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yaw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78816"/>
        <c:crosses val="autoZero"/>
        <c:crossBetween val="midCat"/>
      </c:valAx>
      <c:valAx>
        <c:axId val="100207881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Pitch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81216"/>
        <c:crosses val="autoZero"/>
        <c:crossBetween val="midCat"/>
        <c:majorUnit val="10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30</xdr:row>
      <xdr:rowOff>0</xdr:rowOff>
    </xdr:from>
    <xdr:to>
      <xdr:col>17</xdr:col>
      <xdr:colOff>501949</xdr:colOff>
      <xdr:row>51</xdr:row>
      <xdr:rowOff>95454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9A8543-02FD-15D2-32B0-F5C42217F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7100" y="5645150"/>
          <a:ext cx="5816899" cy="3962604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</xdr:row>
      <xdr:rowOff>0</xdr:rowOff>
    </xdr:from>
    <xdr:to>
      <xdr:col>13</xdr:col>
      <xdr:colOff>1250950</xdr:colOff>
      <xdr:row>25</xdr:row>
      <xdr:rowOff>152400</xdr:rowOff>
    </xdr:to>
    <xdr:graphicFrame macro="">
      <xdr:nvGraphicFramePr>
        <xdr:cNvPr id="2" name="TraceChart">
          <a:extLst>
            <a:ext uri="{FF2B5EF4-FFF2-40B4-BE49-F238E27FC236}">
              <a16:creationId xmlns:a16="http://schemas.microsoft.com/office/drawing/2014/main" id="{6650BB0E-A780-FC75-957C-335BACDE3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19</xdr:col>
      <xdr:colOff>406400</xdr:colOff>
      <xdr:row>25</xdr:row>
      <xdr:rowOff>152400</xdr:rowOff>
    </xdr:to>
    <xdr:graphicFrame macro="">
      <xdr:nvGraphicFramePr>
        <xdr:cNvPr id="3" name="GimbalPlanChart">
          <a:extLst>
            <a:ext uri="{FF2B5EF4-FFF2-40B4-BE49-F238E27FC236}">
              <a16:creationId xmlns:a16="http://schemas.microsoft.com/office/drawing/2014/main" id="{545683F3-8D6E-D4A2-EDDC-0820266BE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kippysky.com.au/Compact/Australia/Compact_Oz_Stockport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AD24"/>
  <sheetViews>
    <sheetView tabSelected="1" workbookViewId="0">
      <selection activeCell="C21" sqref="C21"/>
    </sheetView>
  </sheetViews>
  <sheetFormatPr defaultRowHeight="14.5"/>
  <cols>
    <col min="3" max="3" width="28.6328125" customWidth="1"/>
  </cols>
  <sheetData>
    <row r="1" spans="3:30" ht="18.5">
      <c r="C1" s="15" t="s">
        <v>86</v>
      </c>
    </row>
    <row r="3" spans="3:30" ht="24" customHeight="1">
      <c r="C3" s="16" t="s">
        <v>87</v>
      </c>
      <c r="E3" s="68" t="s">
        <v>468</v>
      </c>
    </row>
    <row r="4" spans="3:30" ht="24" customHeight="1">
      <c r="C4" s="32" t="s">
        <v>88</v>
      </c>
      <c r="AB4" t="s">
        <v>398</v>
      </c>
      <c r="AC4" t="s">
        <v>399</v>
      </c>
      <c r="AD4" t="s">
        <v>400</v>
      </c>
    </row>
    <row r="5" spans="3:30" ht="24" customHeight="1">
      <c r="C5" s="54" t="s">
        <v>89</v>
      </c>
      <c r="AB5" t="s">
        <v>401</v>
      </c>
      <c r="AC5" t="s">
        <v>258</v>
      </c>
      <c r="AD5" t="s">
        <v>402</v>
      </c>
    </row>
    <row r="6" spans="3:30" ht="24" customHeight="1">
      <c r="C6" s="16" t="s">
        <v>90</v>
      </c>
      <c r="N6" t="s">
        <v>369</v>
      </c>
      <c r="AB6" t="s">
        <v>403</v>
      </c>
      <c r="AC6" t="s">
        <v>264</v>
      </c>
      <c r="AD6" t="s">
        <v>404</v>
      </c>
    </row>
    <row r="7" spans="3:30" ht="24" customHeight="1">
      <c r="C7" s="16" t="s">
        <v>91</v>
      </c>
      <c r="AB7" t="s">
        <v>405</v>
      </c>
      <c r="AC7" t="s">
        <v>265</v>
      </c>
      <c r="AD7" t="s">
        <v>406</v>
      </c>
    </row>
    <row r="8" spans="3:30" ht="24" customHeight="1">
      <c r="C8" s="32" t="s">
        <v>92</v>
      </c>
      <c r="H8" t="s">
        <v>360</v>
      </c>
      <c r="N8" t="s">
        <v>370</v>
      </c>
      <c r="AB8" t="s">
        <v>407</v>
      </c>
      <c r="AC8" t="s">
        <v>266</v>
      </c>
      <c r="AD8" t="s">
        <v>408</v>
      </c>
    </row>
    <row r="9" spans="3:30" ht="24" customHeight="1">
      <c r="C9" s="54" t="s">
        <v>100</v>
      </c>
      <c r="H9" t="s">
        <v>361</v>
      </c>
      <c r="N9" t="s">
        <v>371</v>
      </c>
      <c r="AB9" t="s">
        <v>409</v>
      </c>
      <c r="AC9" t="s">
        <v>267</v>
      </c>
      <c r="AD9" t="s">
        <v>410</v>
      </c>
    </row>
    <row r="10" spans="3:30" ht="24" customHeight="1">
      <c r="C10" s="16" t="s">
        <v>110</v>
      </c>
      <c r="H10" t="s">
        <v>362</v>
      </c>
      <c r="N10" t="s">
        <v>372</v>
      </c>
      <c r="AB10" t="s">
        <v>411</v>
      </c>
      <c r="AC10" t="s">
        <v>268</v>
      </c>
      <c r="AD10" t="s">
        <v>412</v>
      </c>
    </row>
    <row r="11" spans="3:30" ht="24" customHeight="1">
      <c r="C11" s="16" t="s">
        <v>111</v>
      </c>
      <c r="H11" t="s">
        <v>363</v>
      </c>
      <c r="AB11" t="s">
        <v>101</v>
      </c>
      <c r="AC11" t="s">
        <v>69</v>
      </c>
      <c r="AD11" t="s">
        <v>413</v>
      </c>
    </row>
    <row r="12" spans="3:30" ht="24" customHeight="1">
      <c r="C12" s="34" t="s">
        <v>195</v>
      </c>
      <c r="H12" t="s">
        <v>364</v>
      </c>
      <c r="AB12" t="s">
        <v>102</v>
      </c>
      <c r="AC12" t="s">
        <v>269</v>
      </c>
      <c r="AD12" t="s">
        <v>414</v>
      </c>
    </row>
    <row r="13" spans="3:30" ht="24" customHeight="1">
      <c r="C13" s="34" t="s">
        <v>196</v>
      </c>
      <c r="N13" t="s">
        <v>374</v>
      </c>
      <c r="AB13" t="s">
        <v>415</v>
      </c>
      <c r="AC13" t="s">
        <v>270</v>
      </c>
      <c r="AD13" t="s">
        <v>416</v>
      </c>
    </row>
    <row r="14" spans="3:30" ht="24" customHeight="1">
      <c r="C14" s="16" t="s">
        <v>93</v>
      </c>
      <c r="H14" t="s">
        <v>365</v>
      </c>
      <c r="AB14" t="s">
        <v>417</v>
      </c>
      <c r="AC14" t="s">
        <v>418</v>
      </c>
      <c r="AD14" t="s">
        <v>419</v>
      </c>
    </row>
    <row r="15" spans="3:30" ht="24" customHeight="1">
      <c r="C15" s="34" t="s">
        <v>94</v>
      </c>
      <c r="AB15" t="s">
        <v>341</v>
      </c>
      <c r="AC15" t="s">
        <v>420</v>
      </c>
      <c r="AD15" t="s">
        <v>421</v>
      </c>
    </row>
    <row r="16" spans="3:30" ht="24" customHeight="1">
      <c r="C16" s="16" t="s">
        <v>251</v>
      </c>
      <c r="H16" t="s">
        <v>366</v>
      </c>
      <c r="N16" t="s">
        <v>373</v>
      </c>
      <c r="AB16" t="s">
        <v>422</v>
      </c>
      <c r="AC16" t="s">
        <v>423</v>
      </c>
      <c r="AD16" t="s">
        <v>424</v>
      </c>
    </row>
    <row r="17" spans="3:30" ht="24" customHeight="1">
      <c r="C17" s="34" t="s">
        <v>460</v>
      </c>
      <c r="H17" t="s">
        <v>367</v>
      </c>
      <c r="AB17" t="s">
        <v>425</v>
      </c>
      <c r="AC17" t="s">
        <v>426</v>
      </c>
      <c r="AD17" t="s">
        <v>427</v>
      </c>
    </row>
    <row r="18" spans="3:30">
      <c r="C18" s="32" t="s">
        <v>470</v>
      </c>
      <c r="H18" t="s">
        <v>368</v>
      </c>
      <c r="L18" t="s">
        <v>358</v>
      </c>
      <c r="N18" t="s">
        <v>358</v>
      </c>
      <c r="AB18" t="s">
        <v>428</v>
      </c>
      <c r="AC18" t="s">
        <v>275</v>
      </c>
      <c r="AD18" t="s">
        <v>429</v>
      </c>
    </row>
    <row r="19" spans="3:30">
      <c r="C19" s="67" t="s">
        <v>467</v>
      </c>
      <c r="L19" t="s">
        <v>377</v>
      </c>
      <c r="N19" t="s">
        <v>359</v>
      </c>
      <c r="AB19" t="s">
        <v>430</v>
      </c>
      <c r="AC19" t="s">
        <v>276</v>
      </c>
      <c r="AD19" t="s">
        <v>431</v>
      </c>
    </row>
    <row r="20" spans="3:30">
      <c r="C20" s="69" t="s">
        <v>252</v>
      </c>
      <c r="N20" t="s">
        <v>375</v>
      </c>
      <c r="AB20" t="s">
        <v>432</v>
      </c>
      <c r="AC20" t="s">
        <v>263</v>
      </c>
      <c r="AD20" t="s">
        <v>433</v>
      </c>
    </row>
    <row r="21" spans="3:30">
      <c r="C21" s="92" t="s">
        <v>469</v>
      </c>
    </row>
    <row r="23" spans="3:30">
      <c r="C23" s="17" t="s">
        <v>95</v>
      </c>
    </row>
    <row r="24" spans="3:30">
      <c r="C24" s="17" t="s">
        <v>95</v>
      </c>
    </row>
  </sheetData>
  <hyperlinks>
    <hyperlink ref="E3" r:id="rId1" xr:uid="{05E63C4D-E7A5-4389-AB40-E564DD5656D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K65"/>
  <sheetViews>
    <sheetView showGridLines="0" topLeftCell="A23" workbookViewId="0">
      <selection activeCell="C63" sqref="C63"/>
    </sheetView>
  </sheetViews>
  <sheetFormatPr defaultRowHeight="14.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11" ht="32.15" customHeight="1">
      <c r="A1" s="72" t="s">
        <v>0</v>
      </c>
      <c r="B1" s="71"/>
      <c r="C1" s="71"/>
      <c r="D1" s="71"/>
      <c r="E1" s="71"/>
      <c r="F1" s="71"/>
    </row>
    <row r="3" spans="1:11">
      <c r="B3" s="75" t="s">
        <v>1</v>
      </c>
      <c r="C3" s="71"/>
    </row>
    <row r="4" spans="1:11">
      <c r="B4" s="1" t="s">
        <v>2</v>
      </c>
      <c r="C4" s="8" t="s">
        <v>81</v>
      </c>
    </row>
    <row r="5" spans="1:11">
      <c r="B5" s="1" t="s">
        <v>3</v>
      </c>
      <c r="C5" s="8" t="s">
        <v>82</v>
      </c>
    </row>
    <row r="6" spans="1:11">
      <c r="E6" s="76" t="s">
        <v>4</v>
      </c>
      <c r="F6" s="71"/>
      <c r="J6" t="s">
        <v>4</v>
      </c>
    </row>
    <row r="7" spans="1:11">
      <c r="B7" s="75" t="s">
        <v>5</v>
      </c>
      <c r="C7" s="71"/>
      <c r="E7" s="1" t="s">
        <v>6</v>
      </c>
      <c r="F7" s="22">
        <v>46181.666666666664</v>
      </c>
      <c r="J7" t="s">
        <v>6</v>
      </c>
      <c r="K7">
        <v>46153.666666666664</v>
      </c>
    </row>
    <row r="8" spans="1:11">
      <c r="B8" s="1" t="s">
        <v>7</v>
      </c>
      <c r="C8" s="2">
        <v>-35.6415976879155</v>
      </c>
      <c r="E8" s="1" t="s">
        <v>8</v>
      </c>
      <c r="F8" s="22">
        <v>46181.715601851851</v>
      </c>
      <c r="G8" s="9">
        <f ca="1">NOW()+TIME(0,0,30)</f>
        <v>46181.597609027776</v>
      </c>
      <c r="J8" t="s">
        <v>8</v>
      </c>
      <c r="K8">
        <v>46153.726203703707</v>
      </c>
    </row>
    <row r="9" spans="1:11">
      <c r="B9" s="1" t="s">
        <v>9</v>
      </c>
      <c r="C9" s="2">
        <v>138.25143626835299</v>
      </c>
      <c r="E9" s="1" t="s">
        <v>10</v>
      </c>
      <c r="F9" s="22">
        <f>dataSunriseTime</f>
        <v>46181.306527777779</v>
      </c>
      <c r="J9" t="s">
        <v>10</v>
      </c>
      <c r="K9">
        <v>46153.290451388886</v>
      </c>
    </row>
    <row r="10" spans="1:11">
      <c r="B10" s="1" t="s">
        <v>11</v>
      </c>
      <c r="C10" s="2">
        <v>9.5</v>
      </c>
      <c r="E10" s="1" t="s">
        <v>12</v>
      </c>
      <c r="F10" s="22">
        <v>46181.684351851851</v>
      </c>
      <c r="G10" s="9">
        <f ca="1">NOW()+TIME(0,H10,0)</f>
        <v>46181.59795625</v>
      </c>
      <c r="H10">
        <v>1</v>
      </c>
      <c r="J10" t="s">
        <v>12</v>
      </c>
      <c r="K10">
        <v>46153.694953703707</v>
      </c>
    </row>
    <row r="11" spans="1:11">
      <c r="B11" s="1" t="s">
        <v>13</v>
      </c>
      <c r="C11" s="2">
        <v>270</v>
      </c>
      <c r="E11" s="1" t="s">
        <v>14</v>
      </c>
      <c r="F11" s="22">
        <v>46181.729490740741</v>
      </c>
      <c r="G11" s="9">
        <f t="shared" ref="G11:G15" ca="1" si="0">NOW()+TIME(0,H11,0)</f>
        <v>46181.598650694439</v>
      </c>
      <c r="H11">
        <v>2</v>
      </c>
      <c r="J11" t="s">
        <v>14</v>
      </c>
      <c r="K11">
        <v>46153.74009259259</v>
      </c>
    </row>
    <row r="12" spans="1:11">
      <c r="E12" s="1" t="s">
        <v>15</v>
      </c>
      <c r="F12" s="22">
        <v>46181.757268518515</v>
      </c>
      <c r="G12" s="9">
        <f t="shared" ca="1" si="0"/>
        <v>46181.599345138886</v>
      </c>
      <c r="H12">
        <v>3</v>
      </c>
      <c r="J12" t="s">
        <v>15</v>
      </c>
      <c r="K12">
        <v>46153.767870370371</v>
      </c>
    </row>
    <row r="13" spans="1:11">
      <c r="B13" s="75" t="s">
        <v>16</v>
      </c>
      <c r="C13" s="71"/>
      <c r="E13" s="1" t="s">
        <v>17</v>
      </c>
      <c r="F13" s="22">
        <v>46181.244027777779</v>
      </c>
      <c r="G13" s="9">
        <f t="shared" ca="1" si="0"/>
        <v>46181.600039583333</v>
      </c>
      <c r="H13">
        <v>4</v>
      </c>
      <c r="J13" t="s">
        <v>17</v>
      </c>
      <c r="K13">
        <v>46153.227951388886</v>
      </c>
    </row>
    <row r="14" spans="1:11">
      <c r="B14" s="1" t="s">
        <v>18</v>
      </c>
      <c r="C14" s="3" t="s">
        <v>19</v>
      </c>
      <c r="E14" s="1" t="s">
        <v>20</v>
      </c>
      <c r="F14" s="22">
        <v>46181.275277777779</v>
      </c>
      <c r="G14" s="9">
        <f t="shared" ca="1" si="0"/>
        <v>46181.600734027772</v>
      </c>
      <c r="H14">
        <v>5</v>
      </c>
      <c r="J14" t="s">
        <v>20</v>
      </c>
      <c r="K14">
        <v>46153.259201388886</v>
      </c>
    </row>
    <row r="15" spans="1:11">
      <c r="E15" s="1" t="s">
        <v>21</v>
      </c>
      <c r="F15" s="22">
        <v>46181.306527777779</v>
      </c>
      <c r="G15" s="9">
        <f t="shared" ca="1" si="0"/>
        <v>46181.601428472219</v>
      </c>
      <c r="H15">
        <v>6</v>
      </c>
      <c r="J15" t="s">
        <v>21</v>
      </c>
      <c r="K15">
        <v>46153.290451388886</v>
      </c>
    </row>
    <row r="16" spans="1:11">
      <c r="B16" s="73" t="s">
        <v>22</v>
      </c>
      <c r="C16" s="71"/>
      <c r="F16" s="21"/>
    </row>
    <row r="17" spans="2:11">
      <c r="B17" s="1" t="s">
        <v>23</v>
      </c>
      <c r="C17" s="2" t="s">
        <v>24</v>
      </c>
      <c r="E17" s="74" t="s">
        <v>25</v>
      </c>
      <c r="F17" s="71"/>
      <c r="J17" t="s">
        <v>25</v>
      </c>
    </row>
    <row r="18" spans="2:11">
      <c r="B18" s="1" t="s">
        <v>26</v>
      </c>
      <c r="C18" s="13" t="s">
        <v>27</v>
      </c>
      <c r="E18" s="1" t="s">
        <v>28</v>
      </c>
      <c r="F18" s="22">
        <v>46181.306527777779</v>
      </c>
      <c r="J18" t="s">
        <v>28</v>
      </c>
      <c r="K18">
        <v>46153.290451388886</v>
      </c>
    </row>
    <row r="19" spans="2:11">
      <c r="B19" s="1" t="s">
        <v>29</v>
      </c>
      <c r="C19" s="14" t="s">
        <v>250</v>
      </c>
      <c r="E19" s="1" t="s">
        <v>30</v>
      </c>
      <c r="F19" s="22">
        <v>46181.287002314813</v>
      </c>
      <c r="J19" t="s">
        <v>30</v>
      </c>
      <c r="K19">
        <v>46153.272835648146</v>
      </c>
    </row>
    <row r="20" spans="2:11">
      <c r="B20" s="1" t="s">
        <v>31</v>
      </c>
      <c r="C20" s="2">
        <v>100</v>
      </c>
      <c r="E20" s="1" t="s">
        <v>32</v>
      </c>
      <c r="F20" s="22">
        <v>46181.735138888886</v>
      </c>
      <c r="J20" t="s">
        <v>32</v>
      </c>
      <c r="K20">
        <v>46153.743807870371</v>
      </c>
    </row>
    <row r="21" spans="2:11">
      <c r="B21" s="1" t="s">
        <v>33</v>
      </c>
      <c r="C21" s="2">
        <v>64</v>
      </c>
      <c r="E21" s="1" t="s">
        <v>34</v>
      </c>
      <c r="F21" s="22">
        <v>46181.757268518515</v>
      </c>
      <c r="J21" t="s">
        <v>34</v>
      </c>
      <c r="K21">
        <v>46153.764918981484</v>
      </c>
    </row>
    <row r="22" spans="2:11">
      <c r="B22" s="1" t="s">
        <v>35</v>
      </c>
      <c r="C22" s="2">
        <v>0</v>
      </c>
      <c r="E22" s="1" t="s">
        <v>36</v>
      </c>
      <c r="F22" s="22">
        <v>46181.778749999998</v>
      </c>
      <c r="J22" t="s">
        <v>36</v>
      </c>
      <c r="K22">
        <v>46153.785671296297</v>
      </c>
    </row>
    <row r="23" spans="2:11">
      <c r="B23" s="1" t="s">
        <v>37</v>
      </c>
      <c r="C23" s="2" t="s">
        <v>593</v>
      </c>
      <c r="J23" t="s">
        <v>99</v>
      </c>
      <c r="K23">
        <v>100</v>
      </c>
    </row>
    <row r="24" spans="2:11">
      <c r="B24" s="1" t="s">
        <v>39</v>
      </c>
      <c r="C24" s="2" t="s">
        <v>40</v>
      </c>
    </row>
    <row r="25" spans="2:11">
      <c r="E25" s="1" t="s">
        <v>254</v>
      </c>
      <c r="F25" s="22">
        <v>46182.018009259256</v>
      </c>
    </row>
    <row r="26" spans="2:11">
      <c r="B26" s="73" t="s">
        <v>41</v>
      </c>
      <c r="C26" s="71"/>
      <c r="E26" s="1" t="s">
        <v>253</v>
      </c>
      <c r="F26" s="22">
        <v>46182.533738425926</v>
      </c>
    </row>
    <row r="27" spans="2:11">
      <c r="B27" s="1" t="s">
        <v>42</v>
      </c>
      <c r="C27" s="2">
        <v>0</v>
      </c>
    </row>
    <row r="28" spans="2:11">
      <c r="B28" s="1" t="s">
        <v>43</v>
      </c>
      <c r="C28" s="2">
        <v>0</v>
      </c>
    </row>
    <row r="29" spans="2:11">
      <c r="B29" s="1" t="s">
        <v>44</v>
      </c>
      <c r="C29" s="2">
        <v>0</v>
      </c>
    </row>
    <row r="30" spans="2:11">
      <c r="B30" s="1" t="s">
        <v>45</v>
      </c>
      <c r="C30" s="2">
        <v>0</v>
      </c>
    </row>
    <row r="31" spans="2:11">
      <c r="B31" s="1" t="s">
        <v>46</v>
      </c>
      <c r="C31" s="2">
        <v>0</v>
      </c>
    </row>
    <row r="32" spans="2:11">
      <c r="B32" s="1" t="s">
        <v>47</v>
      </c>
      <c r="C32" s="2">
        <v>0</v>
      </c>
    </row>
    <row r="34" spans="2:5">
      <c r="B34" s="73" t="s">
        <v>48</v>
      </c>
      <c r="C34" s="71"/>
    </row>
    <row r="35" spans="2:5">
      <c r="B35" s="1" t="s">
        <v>49</v>
      </c>
      <c r="C35" s="2">
        <v>0</v>
      </c>
    </row>
    <row r="36" spans="2:5">
      <c r="B36" s="1" t="s">
        <v>50</v>
      </c>
      <c r="C36" s="2">
        <v>0</v>
      </c>
    </row>
    <row r="37" spans="2:5">
      <c r="B37" s="1" t="s">
        <v>51</v>
      </c>
      <c r="C37" s="2">
        <v>0</v>
      </c>
    </row>
    <row r="38" spans="2:5">
      <c r="B38" s="1" t="s">
        <v>52</v>
      </c>
      <c r="C38" s="2">
        <v>0.95</v>
      </c>
    </row>
    <row r="40" spans="2:5">
      <c r="B40" s="70" t="s">
        <v>98</v>
      </c>
      <c r="C40" s="71"/>
    </row>
    <row r="41" spans="2:5">
      <c r="C41" s="20">
        <v>60</v>
      </c>
      <c r="E41" t="s">
        <v>96</v>
      </c>
    </row>
    <row r="42" spans="2:5">
      <c r="C42" s="20">
        <v>40</v>
      </c>
      <c r="E42" t="s">
        <v>97</v>
      </c>
    </row>
    <row r="44" spans="2:5">
      <c r="B44" s="25" t="s">
        <v>187</v>
      </c>
      <c r="C44" t="s">
        <v>114</v>
      </c>
    </row>
    <row r="45" spans="2:5">
      <c r="B45" s="25" t="s">
        <v>248</v>
      </c>
      <c r="C45">
        <v>-225</v>
      </c>
    </row>
    <row r="46" spans="2:5">
      <c r="B46" s="25" t="s">
        <v>249</v>
      </c>
      <c r="C46">
        <v>225</v>
      </c>
    </row>
    <row r="48" spans="2:5">
      <c r="B48" s="23" t="s">
        <v>304</v>
      </c>
    </row>
    <row r="49" spans="2:4">
      <c r="B49" t="s">
        <v>305</v>
      </c>
      <c r="C49" s="62">
        <v>0.6958333333333333</v>
      </c>
      <c r="D49" t="s">
        <v>306</v>
      </c>
    </row>
    <row r="51" spans="2:4">
      <c r="B51" s="25" t="s">
        <v>322</v>
      </c>
    </row>
    <row r="52" spans="2:4">
      <c r="B52" t="s">
        <v>319</v>
      </c>
      <c r="C52" s="5">
        <v>0.9375</v>
      </c>
      <c r="D52" t="s">
        <v>307</v>
      </c>
    </row>
    <row r="53" spans="2:4">
      <c r="B53" t="s">
        <v>320</v>
      </c>
      <c r="C53" s="5">
        <v>9.375E-2</v>
      </c>
      <c r="D53" t="s">
        <v>307</v>
      </c>
    </row>
    <row r="54" spans="2:4">
      <c r="B54" t="s">
        <v>321</v>
      </c>
      <c r="C54" s="5">
        <v>0.25</v>
      </c>
      <c r="D54" t="s">
        <v>307</v>
      </c>
    </row>
    <row r="56" spans="2:4">
      <c r="B56" s="25" t="s">
        <v>308</v>
      </c>
    </row>
    <row r="57" spans="2:4">
      <c r="B57" t="s">
        <v>309</v>
      </c>
      <c r="C57" s="52">
        <v>3</v>
      </c>
      <c r="D57" t="s">
        <v>310</v>
      </c>
    </row>
    <row r="58" spans="2:4">
      <c r="B58" t="s">
        <v>311</v>
      </c>
      <c r="C58" s="52">
        <v>10</v>
      </c>
      <c r="D58" t="s">
        <v>312</v>
      </c>
    </row>
    <row r="59" spans="2:4">
      <c r="B59" t="s">
        <v>313</v>
      </c>
      <c r="C59" s="52">
        <v>30</v>
      </c>
      <c r="D59" t="s">
        <v>314</v>
      </c>
    </row>
    <row r="61" spans="2:4">
      <c r="B61" s="25" t="s">
        <v>315</v>
      </c>
    </row>
    <row r="62" spans="2:4">
      <c r="B62" s="25"/>
    </row>
    <row r="64" spans="2:4">
      <c r="B64" s="25" t="s">
        <v>316</v>
      </c>
    </row>
    <row r="65" spans="2:4">
      <c r="B65" t="s">
        <v>317</v>
      </c>
      <c r="C65" t="b">
        <v>0</v>
      </c>
      <c r="D65" t="s">
        <v>318</v>
      </c>
    </row>
  </sheetData>
  <mergeCells count="10">
    <mergeCell ref="B40:C40"/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4A1A5-EBEE-40F4-8653-026418FD6B9E}">
  <sheetPr codeName="Sheet11"/>
  <dimension ref="B1:AM28"/>
  <sheetViews>
    <sheetView zoomScaleNormal="100" workbookViewId="0">
      <pane xSplit="1" ySplit="5" topLeftCell="K6" activePane="bottomRight" state="frozen"/>
      <selection pane="topRight" activeCell="B1" sqref="B1"/>
      <selection pane="bottomLeft" activeCell="A6" sqref="A6"/>
      <selection pane="bottomRight" activeCell="X9" sqref="X9"/>
    </sheetView>
  </sheetViews>
  <sheetFormatPr defaultColWidth="8.6328125" defaultRowHeight="14.5"/>
  <cols>
    <col min="1" max="1" width="8.6328125" style="36"/>
    <col min="2" max="2" width="6" style="36" customWidth="1"/>
    <col min="3" max="4" width="9" style="36" customWidth="1"/>
    <col min="5" max="5" width="11" style="36" customWidth="1"/>
    <col min="6" max="6" width="8" style="36" customWidth="1"/>
    <col min="7" max="7" width="7" style="36" customWidth="1"/>
    <col min="8" max="8" width="6" style="36" customWidth="1"/>
    <col min="9" max="9" width="10" style="36" customWidth="1"/>
    <col min="10" max="10" width="12.36328125" style="36" bestFit="1" customWidth="1"/>
    <col min="11" max="11" width="38" style="36" customWidth="1"/>
    <col min="12" max="12" width="2" style="36" customWidth="1"/>
    <col min="13" max="13" width="7" style="36" customWidth="1"/>
    <col min="14" max="15" width="11" style="36" customWidth="1"/>
    <col min="16" max="18" width="9" style="36" customWidth="1"/>
    <col min="19" max="19" width="12" style="36" customWidth="1"/>
    <col min="20" max="20" width="10" style="36" customWidth="1"/>
    <col min="21" max="21" width="14" style="36" customWidth="1"/>
    <col min="22" max="25" width="8" style="36" customWidth="1"/>
    <col min="26" max="26" width="16" style="36" customWidth="1"/>
    <col min="27" max="27" width="8" style="36" customWidth="1"/>
    <col min="28" max="28" width="32" style="36" customWidth="1"/>
    <col min="29" max="29" width="10" style="36" customWidth="1"/>
    <col min="30" max="30" width="9" style="36" customWidth="1"/>
    <col min="31" max="31" width="10" style="36" customWidth="1"/>
    <col min="32" max="32" width="8" style="36" customWidth="1"/>
    <col min="33" max="33" width="10" style="36" customWidth="1"/>
    <col min="34" max="34" width="6" style="36" customWidth="1"/>
    <col min="35" max="35" width="18.90625" style="36" customWidth="1"/>
    <col min="36" max="36" width="9" style="36" customWidth="1"/>
    <col min="37" max="38" width="10" style="36" customWidth="1"/>
    <col min="39" max="39" width="28" style="36" customWidth="1"/>
    <col min="40" max="16384" width="8.6328125" style="36"/>
  </cols>
  <sheetData>
    <row r="1" spans="2:39" ht="21.75" customHeight="1">
      <c r="B1" s="35" t="s">
        <v>255</v>
      </c>
    </row>
    <row r="3" spans="2:39" ht="19.5" customHeight="1">
      <c r="B3" s="77" t="s">
        <v>256</v>
      </c>
      <c r="C3" s="78"/>
      <c r="D3" s="78"/>
      <c r="E3" s="78"/>
      <c r="F3" s="78"/>
      <c r="G3" s="78"/>
      <c r="H3" s="78"/>
      <c r="I3" s="78"/>
      <c r="J3" s="78"/>
      <c r="K3" s="78"/>
      <c r="M3" s="79" t="s">
        <v>257</v>
      </c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D3" s="78"/>
      <c r="AE3" s="78"/>
      <c r="AF3" s="78"/>
      <c r="AG3" s="78"/>
      <c r="AH3" s="78"/>
      <c r="AI3" s="78"/>
      <c r="AJ3" s="78"/>
      <c r="AK3" s="78"/>
      <c r="AL3" s="78"/>
      <c r="AM3" s="78"/>
    </row>
    <row r="5" spans="2:39" ht="27.75" customHeight="1">
      <c r="B5" s="59"/>
      <c r="C5" s="38" t="s">
        <v>69</v>
      </c>
      <c r="D5" s="38" t="s">
        <v>259</v>
      </c>
      <c r="E5" s="38" t="s">
        <v>51</v>
      </c>
      <c r="F5" s="38" t="s">
        <v>260</v>
      </c>
      <c r="G5" s="38" t="s">
        <v>261</v>
      </c>
      <c r="H5" s="38" t="s">
        <v>379</v>
      </c>
      <c r="I5" s="37" t="s">
        <v>262</v>
      </c>
      <c r="J5" s="59" t="s">
        <v>397</v>
      </c>
      <c r="K5" s="38" t="s">
        <v>263</v>
      </c>
      <c r="M5" s="39" t="s">
        <v>258</v>
      </c>
      <c r="N5" s="40" t="s">
        <v>264</v>
      </c>
      <c r="O5" s="40" t="s">
        <v>265</v>
      </c>
      <c r="P5" s="40" t="s">
        <v>266</v>
      </c>
      <c r="Q5" s="39" t="s">
        <v>267</v>
      </c>
      <c r="R5" s="39" t="s">
        <v>268</v>
      </c>
      <c r="S5" s="40" t="s">
        <v>69</v>
      </c>
      <c r="T5" s="40" t="s">
        <v>269</v>
      </c>
      <c r="U5" s="40" t="s">
        <v>270</v>
      </c>
      <c r="V5" s="40" t="s">
        <v>271</v>
      </c>
      <c r="W5" s="40" t="s">
        <v>272</v>
      </c>
      <c r="X5" s="40" t="s">
        <v>273</v>
      </c>
      <c r="Y5" s="40" t="s">
        <v>274</v>
      </c>
      <c r="Z5" s="40" t="s">
        <v>275</v>
      </c>
      <c r="AA5" s="39" t="s">
        <v>276</v>
      </c>
      <c r="AB5" s="40" t="s">
        <v>263</v>
      </c>
      <c r="AC5" s="41" t="s">
        <v>461</v>
      </c>
      <c r="AD5" s="38" t="s">
        <v>277</v>
      </c>
      <c r="AE5" s="38" t="s">
        <v>278</v>
      </c>
      <c r="AF5" s="38" t="s">
        <v>76</v>
      </c>
      <c r="AG5" s="38" t="s">
        <v>279</v>
      </c>
      <c r="AH5" s="38" t="s">
        <v>280</v>
      </c>
      <c r="AI5" s="38" t="s">
        <v>271</v>
      </c>
      <c r="AJ5" s="38" t="s">
        <v>64</v>
      </c>
      <c r="AK5" s="38" t="s">
        <v>273</v>
      </c>
      <c r="AL5" s="38" t="s">
        <v>274</v>
      </c>
      <c r="AM5" s="38" t="s">
        <v>281</v>
      </c>
    </row>
    <row r="6" spans="2:39" ht="15" customHeight="1">
      <c r="B6" s="57" t="s">
        <v>284</v>
      </c>
      <c r="C6" s="42" t="s">
        <v>282</v>
      </c>
      <c r="D6" s="42">
        <v>1</v>
      </c>
      <c r="E6" s="42">
        <v>10</v>
      </c>
      <c r="F6" s="42">
        <v>0</v>
      </c>
      <c r="G6" s="42"/>
      <c r="H6" s="42">
        <v>180</v>
      </c>
      <c r="I6" s="58"/>
      <c r="J6" s="60">
        <f>dataShootStart</f>
        <v>0.6958333333333333</v>
      </c>
      <c r="K6" s="42" t="s">
        <v>394</v>
      </c>
      <c r="M6" s="43" t="str">
        <f>"GP" &amp; TEXT(ROW()-5,"00")</f>
        <v>GP01</v>
      </c>
      <c r="N6" s="44" t="s">
        <v>283</v>
      </c>
      <c r="O6" s="44" t="s">
        <v>284</v>
      </c>
      <c r="P6" s="44"/>
      <c r="Q6" s="45">
        <f>IF(N6="WP",INDEX($J$6:$J$20,MATCH(O6,$B$6:$B$20,0))+IFERROR(P6,0)/1440,IF(N6="TIME",IFERROR(TIMEVALUE(O6),"")+IFERROR(P6,0)/1440,IF(N6="ASTRO",IF(O6="sunset",dataSunsetTime,IF(O6="sunrise",dataSunriseTime,IF(O6="moonrise",dataMoonriseTime,IF(O6="moonset",dataMoonsetTime,IF(O6="gcrise",dataGCRiseTime,IF(O6="gctransit",dataGCTransitTime,IF(O6="gcset",dataGCSetTime,"")))))))+IFERROR(P6,0)/1440,"")))</f>
        <v>0.6958333333333333</v>
      </c>
      <c r="R6" s="45">
        <f>IF(OR(Q6="",Q7=""),"",Q7-Q6)</f>
        <v>4.1666666666666519E-3</v>
      </c>
      <c r="S6" s="44" t="s">
        <v>434</v>
      </c>
      <c r="T6" s="44" t="s">
        <v>285</v>
      </c>
      <c r="U6" s="44" t="s">
        <v>285</v>
      </c>
      <c r="V6" s="44" t="s">
        <v>285</v>
      </c>
      <c r="W6" s="44" t="s">
        <v>285</v>
      </c>
      <c r="X6" s="44">
        <v>0</v>
      </c>
      <c r="Y6" s="44">
        <v>20</v>
      </c>
      <c r="Z6" s="44" t="s">
        <v>435</v>
      </c>
      <c r="AA6" s="46" t="s">
        <v>285</v>
      </c>
      <c r="AB6" s="44"/>
      <c r="AC6" s="41"/>
      <c r="AD6" s="47">
        <v>2</v>
      </c>
      <c r="AE6" s="47" t="s">
        <v>286</v>
      </c>
      <c r="AF6" s="47" t="s">
        <v>287</v>
      </c>
      <c r="AG6" s="47"/>
      <c r="AH6" s="47"/>
      <c r="AI6" s="47">
        <v>47.3</v>
      </c>
      <c r="AJ6" s="47">
        <v>12</v>
      </c>
      <c r="AK6" s="47"/>
      <c r="AL6" s="47"/>
      <c r="AM6" s="47" t="s">
        <v>288</v>
      </c>
    </row>
    <row r="7" spans="2:39" ht="15" customHeight="1">
      <c r="B7" s="57" t="s">
        <v>343</v>
      </c>
      <c r="C7" s="42" t="s">
        <v>282</v>
      </c>
      <c r="D7" s="42">
        <v>3.3</v>
      </c>
      <c r="E7" s="42">
        <v>10</v>
      </c>
      <c r="F7" s="42">
        <v>35</v>
      </c>
      <c r="G7" s="42"/>
      <c r="H7" s="42">
        <v>180</v>
      </c>
      <c r="I7" s="58"/>
      <c r="J7" s="61">
        <f>IF(C6="","",J6+IF(C6="STOP",G6/86400,IF(AND(ISNUMBER(D6),ISNUMBER(E6),E6&gt;0),D6/E6/24,0)))</f>
        <v>0.7</v>
      </c>
      <c r="K7" s="42" t="s">
        <v>395</v>
      </c>
      <c r="M7" s="43" t="str">
        <f>"GP" &amp; TEXT(ROW()-5,"00")</f>
        <v>GP02</v>
      </c>
      <c r="N7" s="44" t="s">
        <v>283</v>
      </c>
      <c r="O7" s="44" t="s">
        <v>343</v>
      </c>
      <c r="P7" s="44"/>
      <c r="Q7" s="45">
        <f>IF(N7="WP",INDEX($J$6:$J$20,MATCH(O7,$B$6:$B$20,0))+IFERROR(P7,0)/1440,IF(N7="TIME",IFERROR(TIMEVALUE(O7),"")+IFERROR(P7,0)/1440,IF(N7="ASTRO",IF(O7="sunset",dataSunsetTime,IF(O7="sunrise",dataSunriseTime,IF(O7="moonrise",dataMoonriseTime,IF(O7="moonset",dataMoonsetTime,IF(O7="gcrise",dataGCRiseTime,IF(O7="gctransit",dataGCTransitTime,IF(O7="gcset",dataGCSetTime,"")))))))+IFERROR(P7,0)/1440,"")))</f>
        <v>0.7</v>
      </c>
      <c r="R7" s="45">
        <f t="shared" ref="R7:R10" si="0">IF(OR(Q7="",Q8=""),"",Q8-Q7)</f>
        <v>1.375000000000004E-2</v>
      </c>
      <c r="S7" s="44" t="s">
        <v>434</v>
      </c>
      <c r="T7" s="44" t="s">
        <v>285</v>
      </c>
      <c r="U7" s="44" t="s">
        <v>285</v>
      </c>
      <c r="V7" s="44" t="s">
        <v>285</v>
      </c>
      <c r="W7" s="44" t="s">
        <v>285</v>
      </c>
      <c r="X7" s="44">
        <v>100</v>
      </c>
      <c r="Y7" s="44">
        <v>30</v>
      </c>
      <c r="Z7" s="44" t="s">
        <v>441</v>
      </c>
      <c r="AA7" s="46" t="s">
        <v>285</v>
      </c>
      <c r="AB7" s="44"/>
      <c r="AC7" s="41" t="s">
        <v>462</v>
      </c>
      <c r="AD7" s="47">
        <v>3</v>
      </c>
      <c r="AE7" s="47" t="s">
        <v>289</v>
      </c>
      <c r="AF7" s="47" t="s">
        <v>287</v>
      </c>
      <c r="AG7" s="47"/>
      <c r="AH7" s="47"/>
      <c r="AI7" s="47">
        <v>105.8</v>
      </c>
      <c r="AJ7" s="47">
        <v>8</v>
      </c>
      <c r="AK7" s="47"/>
      <c r="AL7" s="47"/>
      <c r="AM7" s="47" t="s">
        <v>290</v>
      </c>
    </row>
    <row r="8" spans="2:39" ht="15" customHeight="1">
      <c r="B8" s="57" t="s">
        <v>336</v>
      </c>
      <c r="C8" s="42" t="s">
        <v>282</v>
      </c>
      <c r="D8" s="42">
        <v>1</v>
      </c>
      <c r="E8" s="42">
        <v>10</v>
      </c>
      <c r="F8" s="42">
        <v>0</v>
      </c>
      <c r="G8" s="42"/>
      <c r="H8" s="42">
        <v>270</v>
      </c>
      <c r="I8" s="58"/>
      <c r="J8" s="61">
        <f t="shared" ref="J8:J18" si="1">IF(C7="","",J7+IF(C7="STOP",G7/86400,IF(AND(ISNUMBER(D7),ISNUMBER(E7),E7&gt;0),D7/E7/24,0)))</f>
        <v>0.71375</v>
      </c>
      <c r="K8" s="42" t="s">
        <v>396</v>
      </c>
      <c r="M8" s="43" t="str">
        <f>"GP" &amp; TEXT(ROW()-5,"00")</f>
        <v>GP03</v>
      </c>
      <c r="N8" s="44" t="s">
        <v>283</v>
      </c>
      <c r="O8" s="44" t="s">
        <v>336</v>
      </c>
      <c r="P8" s="44"/>
      <c r="Q8" s="45">
        <f>IF(N8="WP",INDEX($J$6:$J$20,MATCH(O8,$B$6:$B$20,0))+IFERROR(P8,0)/1440,IF(N8="TIME",IFERROR(TIMEVALUE(O8),"")+IFERROR(P8,0)/1440,IF(N8="ASTRO",IF(O8="sunset",dataSunsetTime,IF(O8="sunrise",dataSunriseTime,IF(O8="moonrise",dataMoonriseTime,IF(O8="moonset",dataMoonsetTime,IF(O8="gcrise",dataGCRiseTime,IF(O8="gctransit",dataGCTransitTime,IF(O8="gcset",dataGCSetTime,"")))))))+IFERROR(P8,0)/1440,"")))</f>
        <v>0.71375</v>
      </c>
      <c r="R8" s="45">
        <f t="shared" si="0"/>
        <v>4.1666666666666519E-3</v>
      </c>
      <c r="S8" s="44" t="s">
        <v>434</v>
      </c>
      <c r="T8" s="44" t="s">
        <v>285</v>
      </c>
      <c r="U8" s="44" t="s">
        <v>285</v>
      </c>
      <c r="V8" s="44" t="s">
        <v>285</v>
      </c>
      <c r="W8" s="44" t="s">
        <v>285</v>
      </c>
      <c r="X8" s="44">
        <v>170</v>
      </c>
      <c r="Y8" s="44">
        <v>60</v>
      </c>
      <c r="Z8" s="44" t="s">
        <v>441</v>
      </c>
      <c r="AA8" s="46" t="s">
        <v>285</v>
      </c>
      <c r="AB8" s="44"/>
      <c r="AC8" s="41" t="s">
        <v>462</v>
      </c>
      <c r="AD8" s="47">
        <v>4</v>
      </c>
      <c r="AE8" s="47" t="s">
        <v>292</v>
      </c>
      <c r="AF8" s="47" t="s">
        <v>287</v>
      </c>
      <c r="AG8" s="47"/>
      <c r="AH8" s="47"/>
      <c r="AI8" s="47">
        <v>200.1</v>
      </c>
      <c r="AJ8" s="47">
        <v>22</v>
      </c>
      <c r="AK8" s="47"/>
      <c r="AL8" s="47"/>
      <c r="AM8" s="47" t="s">
        <v>293</v>
      </c>
    </row>
    <row r="9" spans="2:39" ht="15" customHeight="1">
      <c r="B9" s="57" t="s">
        <v>380</v>
      </c>
      <c r="C9" s="42" t="s">
        <v>303</v>
      </c>
      <c r="D9" s="42">
        <v>0</v>
      </c>
      <c r="E9" s="42">
        <v>0</v>
      </c>
      <c r="F9" s="42">
        <v>0</v>
      </c>
      <c r="G9" s="42"/>
      <c r="H9" s="42">
        <v>270</v>
      </c>
      <c r="I9" s="58"/>
      <c r="J9" s="61">
        <f t="shared" si="1"/>
        <v>0.71791666666666665</v>
      </c>
      <c r="K9" s="42"/>
      <c r="M9" s="43" t="str">
        <f>"GP" &amp; TEXT(ROW()-5,"00")</f>
        <v>GP04</v>
      </c>
      <c r="N9" s="44" t="s">
        <v>283</v>
      </c>
      <c r="O9" s="44" t="s">
        <v>380</v>
      </c>
      <c r="P9" s="48"/>
      <c r="Q9" s="45">
        <f>IF(N9="WP",INDEX($J$6:$J$20,MATCH(O9,$B$6:$B$20,0))+IFERROR(P9,0)/1440,IF(N9="TIME",IFERROR(TIMEVALUE(O9),"")+IFERROR(P9,0)/1440,IF(N9="ASTRO",IF(O9="sunset",dataSunsetTime,IF(O9="sunrise",dataSunriseTime,IF(O9="moonrise",dataMoonriseTime,IF(O9="moonset",dataMoonsetTime,IF(O9="gcrise",dataGCRiseTime,IF(O9="gctransit",dataGCTransitTime,IF(O9="gcset",dataGCSetTime,"")))))))+IFERROR(P9,0)/1440,"")))</f>
        <v>0.71791666666666665</v>
      </c>
      <c r="R9" s="45">
        <f t="shared" si="0"/>
        <v>1.388888888888884E-3</v>
      </c>
      <c r="S9" s="44" t="s">
        <v>434</v>
      </c>
      <c r="T9" s="44" t="s">
        <v>285</v>
      </c>
      <c r="U9" s="44" t="s">
        <v>285</v>
      </c>
      <c r="V9" s="44" t="s">
        <v>285</v>
      </c>
      <c r="W9" s="44" t="s">
        <v>285</v>
      </c>
      <c r="X9" s="48">
        <v>0</v>
      </c>
      <c r="Y9" s="44">
        <v>0</v>
      </c>
      <c r="Z9" s="44" t="s">
        <v>435</v>
      </c>
      <c r="AA9" s="46" t="s">
        <v>285</v>
      </c>
      <c r="AB9" s="44"/>
      <c r="AC9" s="41" t="s">
        <v>463</v>
      </c>
      <c r="AD9" s="47">
        <v>5</v>
      </c>
      <c r="AE9" s="47" t="s">
        <v>295</v>
      </c>
      <c r="AF9" s="47" t="s">
        <v>296</v>
      </c>
      <c r="AG9" s="47" t="s">
        <v>291</v>
      </c>
      <c r="AH9" s="47" t="s">
        <v>297</v>
      </c>
      <c r="AI9" s="47"/>
      <c r="AJ9" s="47"/>
      <c r="AK9" s="47">
        <v>30</v>
      </c>
      <c r="AL9" s="47">
        <v>20</v>
      </c>
      <c r="AM9" s="47" t="s">
        <v>298</v>
      </c>
    </row>
    <row r="10" spans="2:39" ht="15" customHeight="1">
      <c r="B10" s="57"/>
      <c r="C10" s="42"/>
      <c r="D10" s="42"/>
      <c r="E10" s="42"/>
      <c r="F10" s="42"/>
      <c r="G10" s="42"/>
      <c r="H10" s="42"/>
      <c r="I10" s="58"/>
      <c r="J10" s="61">
        <f t="shared" si="1"/>
        <v>0.71791666666666665</v>
      </c>
      <c r="K10" s="42"/>
      <c r="M10" s="43" t="str">
        <f>"GP" &amp; TEXT(ROW()-5,"00")</f>
        <v>GP05</v>
      </c>
      <c r="N10" s="44" t="s">
        <v>283</v>
      </c>
      <c r="O10" s="44" t="s">
        <v>380</v>
      </c>
      <c r="P10" s="48">
        <v>2</v>
      </c>
      <c r="Q10" s="45">
        <f>IF(N10="WP",INDEX($J$6:$J$20,MATCH(O10,$B$6:$B$20,0))+IFERROR(P10,0)/1440,IF(N10="TIME",IFERROR(TIMEVALUE(O10),"")+IFERROR(P10,0)/1440,IF(N10="ASTRO",IF(O10="sunset",dataSunsetTime,IF(O10="sunrise",dataSunriseTime,IF(O10="moonrise",dataMoonriseTime,IF(O10="moonset",dataMoonsetTime,IF(O10="gcrise",dataGCRiseTime,IF(O10="gctransit",dataGCTransitTime,IF(O10="gcset",dataGCSetTime,"")))))))+IFERROR(P10,0)/1440,"")))</f>
        <v>0.71930555555555553</v>
      </c>
      <c r="R10" s="45" t="str">
        <f t="shared" si="0"/>
        <v/>
      </c>
      <c r="S10" s="44" t="s">
        <v>294</v>
      </c>
      <c r="T10" s="44" t="s">
        <v>285</v>
      </c>
      <c r="U10" s="44" t="s">
        <v>285</v>
      </c>
      <c r="V10" s="44" t="s">
        <v>285</v>
      </c>
      <c r="W10" s="44" t="s">
        <v>285</v>
      </c>
      <c r="X10" s="48">
        <v>0</v>
      </c>
      <c r="Y10" s="44">
        <v>0</v>
      </c>
      <c r="Z10" s="44"/>
      <c r="AA10" s="46" t="s">
        <v>285</v>
      </c>
      <c r="AB10" s="44"/>
      <c r="AC10" s="41"/>
      <c r="AD10" s="47">
        <v>6</v>
      </c>
      <c r="AE10" s="47" t="s">
        <v>299</v>
      </c>
      <c r="AF10" s="47" t="s">
        <v>296</v>
      </c>
      <c r="AG10" s="47" t="s">
        <v>300</v>
      </c>
      <c r="AH10" s="47" t="s">
        <v>301</v>
      </c>
      <c r="AI10" s="47"/>
      <c r="AJ10" s="47"/>
      <c r="AK10" s="47">
        <v>-5</v>
      </c>
      <c r="AL10" s="47">
        <v>-3</v>
      </c>
      <c r="AM10" s="47" t="s">
        <v>302</v>
      </c>
    </row>
    <row r="11" spans="2:39" ht="15" customHeight="1">
      <c r="B11" s="57"/>
      <c r="C11" s="42"/>
      <c r="D11" s="42"/>
      <c r="E11" s="42"/>
      <c r="F11" s="42"/>
      <c r="G11" s="42"/>
      <c r="H11" s="42"/>
      <c r="I11" s="58"/>
      <c r="J11" s="61" t="str">
        <f t="shared" si="1"/>
        <v/>
      </c>
      <c r="K11" s="42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</row>
    <row r="12" spans="2:39" ht="15" customHeight="1">
      <c r="B12" s="57"/>
      <c r="C12" s="42"/>
      <c r="D12" s="42"/>
      <c r="E12" s="42"/>
      <c r="F12" s="42"/>
      <c r="G12" s="42"/>
      <c r="H12" s="42"/>
      <c r="I12" s="58"/>
      <c r="J12" s="61" t="str">
        <f t="shared" si="1"/>
        <v/>
      </c>
      <c r="K12" s="42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</row>
    <row r="13" spans="2:39">
      <c r="B13" s="57"/>
      <c r="C13" s="42"/>
      <c r="D13" s="42"/>
      <c r="E13" s="42"/>
      <c r="F13" s="42"/>
      <c r="G13" s="42"/>
      <c r="H13" s="42"/>
      <c r="I13" s="58"/>
      <c r="J13" s="61" t="str">
        <f t="shared" si="1"/>
        <v/>
      </c>
      <c r="K13" s="42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</row>
    <row r="14" spans="2:39">
      <c r="B14" s="57"/>
      <c r="C14" s="42"/>
      <c r="D14" s="42"/>
      <c r="E14" s="42"/>
      <c r="F14" s="42"/>
      <c r="G14" s="42"/>
      <c r="H14" s="42"/>
      <c r="I14" s="58"/>
      <c r="J14" s="61" t="str">
        <f t="shared" si="1"/>
        <v/>
      </c>
      <c r="K14" s="42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</row>
    <row r="15" spans="2:39">
      <c r="B15" s="57"/>
      <c r="C15" s="42"/>
      <c r="D15" s="42"/>
      <c r="E15" s="42"/>
      <c r="F15" s="42"/>
      <c r="G15" s="42"/>
      <c r="H15" s="42"/>
      <c r="I15" s="58"/>
      <c r="J15" s="61" t="str">
        <f t="shared" si="1"/>
        <v/>
      </c>
      <c r="K15" s="42"/>
      <c r="M15" s="49"/>
      <c r="N15" s="49"/>
      <c r="O15" s="49"/>
      <c r="P15" s="49"/>
      <c r="Q15" s="49"/>
      <c r="R15" s="66" t="s">
        <v>459</v>
      </c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</row>
    <row r="16" spans="2:39" ht="15" customHeight="1">
      <c r="B16" s="57"/>
      <c r="C16" s="42"/>
      <c r="D16" s="42"/>
      <c r="E16" s="42"/>
      <c r="F16" s="42"/>
      <c r="G16" s="42"/>
      <c r="H16" s="42"/>
      <c r="I16" s="58"/>
      <c r="J16" s="61" t="str">
        <f t="shared" si="1"/>
        <v/>
      </c>
      <c r="K16" s="42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</row>
    <row r="17" spans="2:38" ht="15" customHeight="1">
      <c r="B17" s="57"/>
      <c r="C17" s="42"/>
      <c r="D17" s="42"/>
      <c r="E17" s="42"/>
      <c r="F17" s="42"/>
      <c r="G17" s="42"/>
      <c r="H17" s="42"/>
      <c r="I17" s="58"/>
      <c r="J17" s="61" t="str">
        <f t="shared" si="1"/>
        <v/>
      </c>
      <c r="K17" s="42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</row>
    <row r="18" spans="2:38" ht="15" customHeight="1">
      <c r="B18" s="57"/>
      <c r="C18" s="42"/>
      <c r="D18" s="42"/>
      <c r="E18" s="42"/>
      <c r="F18" s="42"/>
      <c r="G18" s="42"/>
      <c r="H18" s="42"/>
      <c r="I18" s="58"/>
      <c r="J18" s="61" t="str">
        <f t="shared" si="1"/>
        <v/>
      </c>
      <c r="K18" s="42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</row>
    <row r="19" spans="2:38" ht="15" customHeight="1">
      <c r="B19" s="51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55"/>
      <c r="AH19" s="55"/>
      <c r="AI19" s="55"/>
      <c r="AJ19" s="49"/>
      <c r="AK19" s="49"/>
      <c r="AL19" s="49"/>
    </row>
    <row r="20" spans="2:38"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55"/>
      <c r="AH20" s="55"/>
      <c r="AI20" s="56"/>
      <c r="AJ20" s="49"/>
      <c r="AK20" s="49"/>
      <c r="AL20" s="49"/>
    </row>
    <row r="21" spans="2:38"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55"/>
      <c r="AH21" s="55"/>
      <c r="AI21" s="56"/>
      <c r="AJ21" s="49"/>
      <c r="AK21" s="49"/>
      <c r="AL21" s="49"/>
    </row>
    <row r="22" spans="2:38" ht="15" customHeight="1">
      <c r="B22" s="50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</row>
    <row r="23" spans="2:38" ht="15" customHeight="1"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</row>
    <row r="24" spans="2:38" ht="15" customHeight="1"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</row>
    <row r="25" spans="2:38" ht="15" customHeight="1"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</row>
    <row r="26" spans="2:38" ht="15" customHeight="1"/>
    <row r="27" spans="2:38" ht="15" customHeight="1"/>
    <row r="28" spans="2:38" ht="15" customHeight="1"/>
  </sheetData>
  <mergeCells count="3">
    <mergeCell ref="B3:K3"/>
    <mergeCell ref="M3:AB3"/>
    <mergeCell ref="AD3:AM3"/>
  </mergeCells>
  <phoneticPr fontId="25" type="noConversion"/>
  <dataValidations count="8">
    <dataValidation type="list" allowBlank="1" sqref="Z6:Z25" xr:uid="{6F0ED344-DE9C-4404-964E-0A9D2DB3154F}">
      <formula1>"none,Just-perceptible,Comfortable,Cinematic,—"</formula1>
    </dataValidation>
    <dataValidation type="list" allowBlank="1" sqref="U6:U25" xr:uid="{A9B007D8-3961-445F-BA86-475227DC6706}">
      <formula1>"Imperceptible,Cinematic ease,Deliberate pan,Fast,Snap,Computed,—"</formula1>
    </dataValidation>
    <dataValidation type="list" allowBlank="1" sqref="N6:N25" xr:uid="{212CF25D-8B69-4E4A-931C-38FA6B17AF72}">
      <formula1>"WP,TIME,ASTRO"</formula1>
    </dataValidation>
    <dataValidation type="list" allowBlank="1" sqref="P6:P30" xr:uid="{747FB747-7048-467C-929F-C394A9DA7991}">
      <formula1>"Pan Follow,Approach,Lock"</formula1>
      <formula2>0</formula2>
    </dataValidation>
    <dataValidation type="list" allowBlank="1" sqref="N6:N30" xr:uid="{EBF5E5C1-56BA-40CD-BA5A-8344B9E8A476}">
      <formula1>"WP,TIME,ASTRO"</formula1>
      <formula2>0</formula2>
    </dataValidation>
    <dataValidation type="list" allowBlank="1" sqref="C6:C30" xr:uid="{AAE4F355-9056-4716-B7F8-A56DA32BD475}">
      <formula1>"DRIVE,STOP,TURN,WAYPOINT,HOLD"</formula1>
      <formula2>0</formula2>
    </dataValidation>
    <dataValidation type="list" allowBlank="1" showInputMessage="1" showErrorMessage="1" sqref="T6:T60" xr:uid="{7D2B7968-B14F-4E22-8491-D3AF910FF679}">
      <formula1>"sun,moon,gc"</formula1>
    </dataValidation>
    <dataValidation type="list" allowBlank="1" showInputMessage="1" showErrorMessage="1" sqref="S6:S60" xr:uid="{40FCBD22-F683-47CF-9984-C3594BE69C33}">
      <formula1>"Pan Follow,Lock,Move,Track,Track-yaw,END"</formula1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>
      <c r="A1" s="80" t="s">
        <v>53</v>
      </c>
      <c r="B1" s="71"/>
      <c r="C1" s="71"/>
      <c r="D1" s="71"/>
      <c r="E1" s="71"/>
      <c r="F1" s="71"/>
    </row>
    <row r="3" spans="1:6" ht="22" customHeight="1">
      <c r="B3" s="90" t="s">
        <v>54</v>
      </c>
      <c r="C3" s="71"/>
      <c r="D3" s="71"/>
      <c r="E3" s="71"/>
    </row>
    <row r="4" spans="1:6" ht="33">
      <c r="B4" s="1" t="s">
        <v>55</v>
      </c>
      <c r="C4" s="11">
        <v>0.59707175925925926</v>
      </c>
      <c r="E4" s="1" t="s">
        <v>56</v>
      </c>
      <c r="F4" s="4" t="s">
        <v>442</v>
      </c>
    </row>
    <row r="5" spans="1:6" ht="16.5">
      <c r="B5" s="1" t="s">
        <v>39</v>
      </c>
      <c r="C5" s="4" t="s">
        <v>38</v>
      </c>
    </row>
    <row r="7" spans="1:6">
      <c r="B7" s="73" t="s">
        <v>57</v>
      </c>
      <c r="C7" s="71"/>
      <c r="D7" s="71"/>
      <c r="E7" s="71"/>
    </row>
    <row r="8" spans="1:6" ht="16.5">
      <c r="B8" s="1" t="s">
        <v>58</v>
      </c>
      <c r="C8" s="12" t="s">
        <v>250</v>
      </c>
      <c r="E8" s="1" t="s">
        <v>31</v>
      </c>
      <c r="F8" s="4">
        <v>100</v>
      </c>
    </row>
    <row r="9" spans="1:6" ht="16.5">
      <c r="B9" s="1" t="s">
        <v>26</v>
      </c>
      <c r="C9" s="4" t="s">
        <v>27</v>
      </c>
      <c r="E9" s="1" t="s">
        <v>59</v>
      </c>
      <c r="F9" s="4" t="s">
        <v>85</v>
      </c>
    </row>
    <row r="10" spans="1:6" ht="16.5">
      <c r="B10" s="1" t="s">
        <v>60</v>
      </c>
      <c r="C10" s="4">
        <v>64</v>
      </c>
      <c r="E10" s="1" t="s">
        <v>61</v>
      </c>
      <c r="F10" s="4">
        <v>0</v>
      </c>
    </row>
    <row r="12" spans="1:6">
      <c r="B12" s="75" t="s">
        <v>62</v>
      </c>
      <c r="C12" s="71"/>
      <c r="D12" s="71"/>
      <c r="E12" s="71"/>
    </row>
    <row r="13" spans="1:6" ht="16.5">
      <c r="B13" s="1" t="s">
        <v>63</v>
      </c>
      <c r="C13" s="4">
        <v>0</v>
      </c>
      <c r="E13" s="1" t="s">
        <v>64</v>
      </c>
      <c r="F13" s="4">
        <v>0</v>
      </c>
    </row>
    <row r="15" spans="1:6">
      <c r="B15" s="89" t="s">
        <v>65</v>
      </c>
      <c r="C15" s="71"/>
      <c r="D15" s="71"/>
      <c r="E15" s="71"/>
    </row>
    <row r="16" spans="1:6" ht="16.5">
      <c r="B16" s="1" t="s">
        <v>51</v>
      </c>
      <c r="C16" s="4">
        <v>0</v>
      </c>
      <c r="E16" s="1" t="s">
        <v>66</v>
      </c>
      <c r="F16" s="4">
        <v>0</v>
      </c>
    </row>
    <row r="17" spans="2:6" ht="16.5">
      <c r="B17" s="1" t="s">
        <v>50</v>
      </c>
      <c r="C17" s="4">
        <v>0</v>
      </c>
    </row>
    <row r="19" spans="2:6">
      <c r="B19" s="91" t="s">
        <v>67</v>
      </c>
      <c r="C19" s="71"/>
      <c r="D19" s="71"/>
      <c r="E19" s="71"/>
    </row>
    <row r="20" spans="2:6">
      <c r="B20" s="81"/>
      <c r="C20" s="82"/>
      <c r="D20" s="82"/>
      <c r="E20" s="82"/>
      <c r="F20" s="83"/>
    </row>
    <row r="21" spans="2:6">
      <c r="B21" s="84"/>
      <c r="C21" s="71"/>
      <c r="D21" s="71"/>
      <c r="E21" s="71"/>
      <c r="F21" s="85"/>
    </row>
    <row r="22" spans="2:6">
      <c r="B22" s="84"/>
      <c r="C22" s="71"/>
      <c r="D22" s="71"/>
      <c r="E22" s="71"/>
      <c r="F22" s="85"/>
    </row>
    <row r="23" spans="2:6">
      <c r="B23" s="84"/>
      <c r="C23" s="71"/>
      <c r="D23" s="71"/>
      <c r="E23" s="71"/>
      <c r="F23" s="85"/>
    </row>
    <row r="24" spans="2:6">
      <c r="B24" s="86"/>
      <c r="C24" s="87"/>
      <c r="D24" s="87"/>
      <c r="E24" s="87"/>
      <c r="F24" s="88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2" activePane="bottomLeft" state="frozen"/>
      <selection pane="bottomLeft" activeCell="D41" sqref="D41"/>
    </sheetView>
  </sheetViews>
  <sheetFormatPr defaultRowHeight="14.5"/>
  <cols>
    <col min="1" max="1" width="14" style="5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.149999999999999" customHeight="1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  <c r="G1" s="6" t="s">
        <v>74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O34"/>
  <sheetViews>
    <sheetView showGridLines="0" workbookViewId="0">
      <pane ySplit="1" topLeftCell="A2" activePane="bottomLeft" state="frozen"/>
      <selection pane="bottomLeft" activeCell="G30" sqref="G30"/>
    </sheetView>
  </sheetViews>
  <sheetFormatPr defaultRowHeight="14.5"/>
  <cols>
    <col min="1" max="1" width="10.08984375" style="19" bestFit="1" customWidth="1"/>
    <col min="2" max="2" width="4.81640625" bestFit="1" customWidth="1"/>
    <col min="3" max="3" width="5.453125" bestFit="1" customWidth="1"/>
    <col min="4" max="4" width="24.36328125" bestFit="1" customWidth="1"/>
    <col min="5" max="5" width="9.08984375" bestFit="1" customWidth="1"/>
    <col min="6" max="6" width="9.7265625" bestFit="1" customWidth="1"/>
    <col min="7" max="7" width="11.26953125" bestFit="1" customWidth="1"/>
    <col min="8" max="8" width="11.81640625" bestFit="1" customWidth="1"/>
    <col min="9" max="9" width="13.1796875" bestFit="1" customWidth="1"/>
    <col min="10" max="10" width="10.6328125" bestFit="1" customWidth="1"/>
    <col min="11" max="11" width="10" bestFit="1" customWidth="1"/>
    <col min="12" max="12" width="16.453125" bestFit="1" customWidth="1"/>
    <col min="13" max="13" width="7.26953125" bestFit="1" customWidth="1"/>
    <col min="14" max="14" width="19.1796875" bestFit="1" customWidth="1"/>
    <col min="15" max="15" width="11.6328125" bestFit="1" customWidth="1"/>
    <col min="16" max="16" width="10.7265625" bestFit="1" customWidth="1"/>
    <col min="17" max="17" width="10.81640625" bestFit="1" customWidth="1"/>
    <col min="18" max="20" width="8.7265625" customWidth="1"/>
  </cols>
  <sheetData>
    <row r="1" spans="1:15" ht="24" customHeight="1">
      <c r="A1" s="19" t="s">
        <v>75</v>
      </c>
      <c r="B1" t="s">
        <v>76</v>
      </c>
      <c r="C1" t="s">
        <v>70</v>
      </c>
      <c r="D1" t="s">
        <v>77</v>
      </c>
      <c r="E1" t="s">
        <v>381</v>
      </c>
      <c r="F1" t="s">
        <v>382</v>
      </c>
      <c r="L1" t="s">
        <v>383</v>
      </c>
      <c r="M1" t="s">
        <v>384</v>
      </c>
      <c r="N1" t="s">
        <v>385</v>
      </c>
      <c r="O1" t="s">
        <v>386</v>
      </c>
    </row>
    <row r="2" spans="1:15">
      <c r="A2" s="19">
        <v>0</v>
      </c>
      <c r="B2" t="s">
        <v>101</v>
      </c>
      <c r="C2">
        <v>0</v>
      </c>
      <c r="D2" t="s">
        <v>436</v>
      </c>
      <c r="E2">
        <v>3173950</v>
      </c>
      <c r="F2">
        <v>3288871</v>
      </c>
    </row>
    <row r="3" spans="1:15">
      <c r="A3" s="19">
        <v>0</v>
      </c>
      <c r="B3" t="s">
        <v>102</v>
      </c>
      <c r="C3">
        <v>98</v>
      </c>
      <c r="D3" t="s">
        <v>355</v>
      </c>
      <c r="E3">
        <v>3173950</v>
      </c>
      <c r="F3">
        <v>3288871</v>
      </c>
    </row>
    <row r="4" spans="1:15">
      <c r="A4" s="19">
        <v>1.1574074074074073E-5</v>
      </c>
      <c r="B4" t="s">
        <v>101</v>
      </c>
      <c r="C4">
        <v>10</v>
      </c>
      <c r="D4" t="s">
        <v>345</v>
      </c>
      <c r="E4">
        <v>3173950</v>
      </c>
      <c r="F4">
        <v>3288871</v>
      </c>
    </row>
    <row r="5" spans="1:15">
      <c r="A5" s="19">
        <v>1.1574074074074073E-5</v>
      </c>
      <c r="B5" t="s">
        <v>101</v>
      </c>
      <c r="C5">
        <v>20</v>
      </c>
      <c r="D5" t="s">
        <v>346</v>
      </c>
      <c r="E5">
        <v>3173966</v>
      </c>
      <c r="F5">
        <v>3288887</v>
      </c>
    </row>
    <row r="6" spans="1:15">
      <c r="A6" s="19">
        <v>2.3148148148148147E-5</v>
      </c>
      <c r="B6" t="s">
        <v>101</v>
      </c>
      <c r="C6">
        <v>30</v>
      </c>
      <c r="D6" t="s">
        <v>347</v>
      </c>
      <c r="E6">
        <v>3174070</v>
      </c>
      <c r="F6">
        <v>3288991</v>
      </c>
    </row>
    <row r="7" spans="1:15">
      <c r="A7" s="19">
        <v>2.3148148148148147E-5</v>
      </c>
      <c r="B7" t="s">
        <v>101</v>
      </c>
      <c r="C7">
        <v>40</v>
      </c>
      <c r="D7" t="s">
        <v>348</v>
      </c>
      <c r="E7">
        <v>3174166</v>
      </c>
      <c r="F7">
        <v>3289087</v>
      </c>
    </row>
    <row r="8" spans="1:15">
      <c r="A8" s="19">
        <v>2.3148148148148147E-5</v>
      </c>
      <c r="B8" t="s">
        <v>101</v>
      </c>
      <c r="C8">
        <v>50</v>
      </c>
      <c r="D8" t="s">
        <v>349</v>
      </c>
      <c r="E8">
        <v>3174238</v>
      </c>
      <c r="F8">
        <v>3289159</v>
      </c>
    </row>
    <row r="9" spans="1:15">
      <c r="A9" s="19">
        <v>2.3148148148148147E-5</v>
      </c>
      <c r="B9" t="s">
        <v>101</v>
      </c>
      <c r="C9">
        <v>60</v>
      </c>
      <c r="D9" t="s">
        <v>350</v>
      </c>
      <c r="E9">
        <v>3174576</v>
      </c>
      <c r="F9">
        <v>3289497</v>
      </c>
    </row>
    <row r="10" spans="1:15">
      <c r="A10" s="19">
        <v>2.3148148148148147E-5</v>
      </c>
      <c r="B10" t="s">
        <v>101</v>
      </c>
      <c r="C10">
        <v>70</v>
      </c>
      <c r="D10" t="s">
        <v>351</v>
      </c>
      <c r="E10">
        <v>3174826</v>
      </c>
      <c r="F10">
        <v>3289747</v>
      </c>
    </row>
    <row r="11" spans="1:15">
      <c r="A11" s="19">
        <v>3.4722222222222222E-5</v>
      </c>
      <c r="B11" t="s">
        <v>101</v>
      </c>
      <c r="C11">
        <v>80</v>
      </c>
      <c r="D11" t="s">
        <v>352</v>
      </c>
      <c r="E11">
        <v>3175452</v>
      </c>
      <c r="F11">
        <v>3290373</v>
      </c>
    </row>
    <row r="12" spans="1:15">
      <c r="A12" s="19">
        <v>3.4722222222222222E-5</v>
      </c>
      <c r="B12" t="s">
        <v>101</v>
      </c>
      <c r="C12">
        <v>90</v>
      </c>
      <c r="D12" t="s">
        <v>353</v>
      </c>
      <c r="E12">
        <v>3176037</v>
      </c>
      <c r="F12">
        <v>3290958</v>
      </c>
    </row>
    <row r="13" spans="1:15">
      <c r="A13" s="19">
        <v>4.6296296296296294E-5</v>
      </c>
      <c r="B13" t="s">
        <v>101</v>
      </c>
      <c r="C13">
        <v>100</v>
      </c>
      <c r="D13" t="s">
        <v>354</v>
      </c>
      <c r="E13">
        <v>3177200</v>
      </c>
      <c r="F13">
        <v>3292121</v>
      </c>
    </row>
    <row r="14" spans="1:15">
      <c r="A14" s="19">
        <v>4.6296296296296294E-5</v>
      </c>
      <c r="B14" t="s">
        <v>101</v>
      </c>
      <c r="C14">
        <v>100</v>
      </c>
      <c r="D14" t="s">
        <v>354</v>
      </c>
      <c r="E14">
        <v>3178387</v>
      </c>
      <c r="F14">
        <v>3293308</v>
      </c>
    </row>
    <row r="15" spans="1:15">
      <c r="A15" s="19">
        <v>4.6296296296296294E-5</v>
      </c>
      <c r="B15" t="s">
        <v>101</v>
      </c>
      <c r="C15">
        <v>100</v>
      </c>
      <c r="D15" t="s">
        <v>354</v>
      </c>
      <c r="E15">
        <v>3179258</v>
      </c>
      <c r="F15">
        <v>3294179</v>
      </c>
    </row>
    <row r="16" spans="1:15">
      <c r="A16" s="19">
        <v>5.7870370370370373E-5</v>
      </c>
      <c r="B16" t="s">
        <v>101</v>
      </c>
      <c r="C16">
        <v>100</v>
      </c>
      <c r="D16" t="s">
        <v>354</v>
      </c>
      <c r="E16">
        <v>3181103</v>
      </c>
      <c r="F16">
        <v>3296024</v>
      </c>
    </row>
    <row r="17" spans="1:15">
      <c r="A17" s="19">
        <v>1.3888888888888889E-4</v>
      </c>
      <c r="B17" t="s">
        <v>341</v>
      </c>
      <c r="C17">
        <v>1</v>
      </c>
      <c r="D17" t="s">
        <v>344</v>
      </c>
      <c r="E17">
        <v>3233997</v>
      </c>
      <c r="F17">
        <v>3348918</v>
      </c>
    </row>
    <row r="18" spans="1:15">
      <c r="A18" s="19">
        <v>2.3148148148148149E-4</v>
      </c>
      <c r="B18" t="s">
        <v>378</v>
      </c>
      <c r="C18">
        <v>180</v>
      </c>
      <c r="D18" t="s">
        <v>437</v>
      </c>
      <c r="E18">
        <v>3352025</v>
      </c>
      <c r="F18">
        <v>3466946</v>
      </c>
      <c r="N18">
        <v>180</v>
      </c>
      <c r="O18">
        <v>1</v>
      </c>
    </row>
    <row r="19" spans="1:15">
      <c r="A19" s="19">
        <v>4.1666666666666669E-4</v>
      </c>
      <c r="B19" t="s">
        <v>102</v>
      </c>
      <c r="C19">
        <v>103</v>
      </c>
      <c r="D19" t="s">
        <v>387</v>
      </c>
      <c r="E19">
        <v>3618593</v>
      </c>
      <c r="F19">
        <v>3733601</v>
      </c>
    </row>
    <row r="20" spans="1:15">
      <c r="A20" s="19">
        <v>4.1666666666666669E-4</v>
      </c>
      <c r="B20" t="s">
        <v>102</v>
      </c>
      <c r="C20">
        <v>108</v>
      </c>
      <c r="D20" t="s">
        <v>388</v>
      </c>
      <c r="E20">
        <v>3628685</v>
      </c>
      <c r="F20">
        <v>3743606</v>
      </c>
    </row>
    <row r="21" spans="1:15">
      <c r="A21" s="19">
        <v>4.2824074074074075E-4</v>
      </c>
      <c r="B21" t="s">
        <v>102</v>
      </c>
      <c r="C21">
        <v>113</v>
      </c>
      <c r="D21" t="s">
        <v>389</v>
      </c>
      <c r="E21">
        <v>3643562</v>
      </c>
      <c r="F21">
        <v>3758570</v>
      </c>
    </row>
    <row r="22" spans="1:15">
      <c r="A22" s="19">
        <v>4.3981481481481481E-4</v>
      </c>
      <c r="B22" t="s">
        <v>102</v>
      </c>
      <c r="C22">
        <v>118</v>
      </c>
      <c r="D22" t="s">
        <v>390</v>
      </c>
      <c r="E22">
        <v>3652697</v>
      </c>
      <c r="F22">
        <v>3767705</v>
      </c>
    </row>
    <row r="23" spans="1:15">
      <c r="A23" s="19">
        <v>4.3981481481481481E-4</v>
      </c>
      <c r="B23" t="s">
        <v>102</v>
      </c>
      <c r="C23">
        <v>123</v>
      </c>
      <c r="D23" t="s">
        <v>391</v>
      </c>
      <c r="E23">
        <v>3668096</v>
      </c>
      <c r="F23">
        <v>3783017</v>
      </c>
    </row>
    <row r="24" spans="1:15">
      <c r="A24" s="19">
        <v>4.5138888888888887E-4</v>
      </c>
      <c r="B24" t="s">
        <v>102</v>
      </c>
      <c r="C24">
        <v>128</v>
      </c>
      <c r="D24" t="s">
        <v>392</v>
      </c>
      <c r="E24">
        <v>3680624</v>
      </c>
      <c r="F24">
        <v>3795545</v>
      </c>
    </row>
    <row r="25" spans="1:15">
      <c r="A25" s="19">
        <v>4.6296296296296298E-4</v>
      </c>
      <c r="B25" t="s">
        <v>102</v>
      </c>
      <c r="C25">
        <v>133</v>
      </c>
      <c r="D25" t="s">
        <v>393</v>
      </c>
      <c r="E25">
        <v>3694196</v>
      </c>
      <c r="F25">
        <v>3809117</v>
      </c>
    </row>
    <row r="26" spans="1:15">
      <c r="A26" s="19">
        <v>4.9768518518518521E-4</v>
      </c>
      <c r="B26" t="s">
        <v>341</v>
      </c>
      <c r="C26">
        <v>2</v>
      </c>
      <c r="D26" t="s">
        <v>356</v>
      </c>
      <c r="E26">
        <v>3753008</v>
      </c>
      <c r="F26">
        <v>3867929</v>
      </c>
    </row>
    <row r="27" spans="1:15">
      <c r="A27" s="19">
        <v>5.2083333333333333E-4</v>
      </c>
      <c r="B27" t="s">
        <v>342</v>
      </c>
      <c r="C27">
        <v>133</v>
      </c>
      <c r="D27" t="s">
        <v>393</v>
      </c>
      <c r="E27">
        <v>3777020</v>
      </c>
      <c r="F27">
        <v>3891941</v>
      </c>
    </row>
    <row r="28" spans="1:15">
      <c r="A28" s="19">
        <v>5.6712962962962967E-4</v>
      </c>
      <c r="B28" t="s">
        <v>378</v>
      </c>
      <c r="C28">
        <v>180</v>
      </c>
      <c r="D28" t="s">
        <v>438</v>
      </c>
      <c r="E28">
        <v>3858713</v>
      </c>
      <c r="F28">
        <v>3973721</v>
      </c>
      <c r="N28">
        <v>180</v>
      </c>
      <c r="O28">
        <v>2</v>
      </c>
    </row>
    <row r="29" spans="1:15">
      <c r="A29" s="19">
        <v>1.7592592592592592E-3</v>
      </c>
      <c r="B29" t="s">
        <v>102</v>
      </c>
      <c r="C29">
        <v>98</v>
      </c>
      <c r="D29" t="s">
        <v>355</v>
      </c>
      <c r="E29">
        <v>5627771</v>
      </c>
      <c r="F29">
        <v>5742779</v>
      </c>
    </row>
    <row r="30" spans="1:15">
      <c r="A30" s="19">
        <v>1.8055555555555555E-3</v>
      </c>
      <c r="B30" t="s">
        <v>341</v>
      </c>
      <c r="C30">
        <v>3</v>
      </c>
      <c r="D30" t="s">
        <v>357</v>
      </c>
      <c r="E30">
        <v>5700416</v>
      </c>
      <c r="F30">
        <v>5815424</v>
      </c>
    </row>
    <row r="31" spans="1:15">
      <c r="A31" s="19">
        <v>1.8634259259259259E-3</v>
      </c>
      <c r="B31" t="s">
        <v>342</v>
      </c>
      <c r="C31">
        <v>98</v>
      </c>
      <c r="D31" t="s">
        <v>355</v>
      </c>
      <c r="E31">
        <v>5775062</v>
      </c>
      <c r="F31">
        <v>5889983</v>
      </c>
    </row>
    <row r="32" spans="1:15">
      <c r="A32" s="19">
        <v>1.8749999999999999E-3</v>
      </c>
      <c r="B32" t="s">
        <v>378</v>
      </c>
      <c r="C32">
        <v>270</v>
      </c>
      <c r="D32" t="s">
        <v>439</v>
      </c>
      <c r="E32">
        <v>5802641</v>
      </c>
      <c r="F32">
        <v>5917562</v>
      </c>
      <c r="N32">
        <v>270</v>
      </c>
      <c r="O32">
        <v>3</v>
      </c>
    </row>
    <row r="33" spans="1:15">
      <c r="A33" s="19">
        <v>2.0949074074074073E-3</v>
      </c>
      <c r="B33" t="s">
        <v>341</v>
      </c>
      <c r="C33">
        <v>4</v>
      </c>
      <c r="D33" t="s">
        <v>376</v>
      </c>
      <c r="E33">
        <v>6059030</v>
      </c>
      <c r="F33">
        <v>6173951</v>
      </c>
    </row>
    <row r="34" spans="1:15">
      <c r="A34" s="19">
        <v>2.1875000000000002E-3</v>
      </c>
      <c r="B34" t="s">
        <v>378</v>
      </c>
      <c r="C34">
        <v>270</v>
      </c>
      <c r="D34" t="s">
        <v>440</v>
      </c>
      <c r="E34">
        <v>6059030</v>
      </c>
      <c r="F34">
        <v>6173951</v>
      </c>
      <c r="N34">
        <v>270</v>
      </c>
      <c r="O34">
        <v>4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D1"/>
  <sheetViews>
    <sheetView showGridLines="0" workbookViewId="0">
      <pane ySplit="1" topLeftCell="A2" activePane="bottomLeft" state="frozen"/>
      <selection pane="bottomLeft"/>
    </sheetView>
  </sheetViews>
  <sheetFormatPr defaultRowHeight="14.5"/>
  <cols>
    <col min="1" max="3" width="12" customWidth="1"/>
    <col min="4" max="4" width="30" customWidth="1"/>
  </cols>
  <sheetData>
    <row r="1" spans="1:4">
      <c r="A1" s="6" t="s">
        <v>75</v>
      </c>
      <c r="B1" s="6" t="s">
        <v>63</v>
      </c>
      <c r="C1" s="6" t="s">
        <v>64</v>
      </c>
      <c r="D1" s="6" t="s">
        <v>71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634"/>
  <sheetViews>
    <sheetView showGridLines="0" workbookViewId="0">
      <pane ySplit="1" topLeftCell="A111" activePane="bottomLeft" state="frozen"/>
      <selection pane="bottomLeft" activeCell="E116" sqref="E116"/>
    </sheetView>
  </sheetViews>
  <sheetFormatPr defaultRowHeight="14.5"/>
  <cols>
    <col min="1" max="1" width="21.453125" style="19" customWidth="1"/>
    <col min="2" max="2" width="12" customWidth="1"/>
    <col min="3" max="3" width="60" customWidth="1"/>
  </cols>
  <sheetData>
    <row r="1" spans="1:3">
      <c r="A1" s="18" t="s">
        <v>75</v>
      </c>
      <c r="B1" s="7" t="s">
        <v>78</v>
      </c>
      <c r="C1" s="7" t="s">
        <v>79</v>
      </c>
    </row>
    <row r="2" spans="1:3">
      <c r="A2" s="19" t="s">
        <v>474</v>
      </c>
      <c r="B2" t="s">
        <v>471</v>
      </c>
      <c r="C2" t="s">
        <v>475</v>
      </c>
    </row>
    <row r="3" spans="1:3">
      <c r="A3" s="19" t="s">
        <v>474</v>
      </c>
      <c r="B3" t="s">
        <v>471</v>
      </c>
      <c r="C3" s="33" t="s">
        <v>472</v>
      </c>
    </row>
    <row r="4" spans="1:3">
      <c r="A4" s="19" t="s">
        <v>474</v>
      </c>
      <c r="B4" t="s">
        <v>471</v>
      </c>
      <c r="C4" t="s">
        <v>473</v>
      </c>
    </row>
    <row r="5" spans="1:3">
      <c r="A5" s="19" t="s">
        <v>474</v>
      </c>
      <c r="B5" t="s">
        <v>471</v>
      </c>
      <c r="C5" t="s">
        <v>476</v>
      </c>
    </row>
    <row r="6" spans="1:3">
      <c r="A6" s="19" t="s">
        <v>477</v>
      </c>
      <c r="B6" t="s">
        <v>471</v>
      </c>
      <c r="C6" t="s">
        <v>478</v>
      </c>
    </row>
    <row r="7" spans="1:3">
      <c r="A7" s="19" t="s">
        <v>479</v>
      </c>
      <c r="B7" t="s">
        <v>471</v>
      </c>
      <c r="C7" t="s">
        <v>480</v>
      </c>
    </row>
    <row r="8" spans="1:3">
      <c r="A8" s="19" t="s">
        <v>479</v>
      </c>
      <c r="B8" t="s">
        <v>471</v>
      </c>
      <c r="C8" s="33" t="s">
        <v>481</v>
      </c>
    </row>
    <row r="9" spans="1:3">
      <c r="A9" s="19" t="s">
        <v>479</v>
      </c>
      <c r="B9" t="s">
        <v>471</v>
      </c>
      <c r="C9" t="s">
        <v>482</v>
      </c>
    </row>
    <row r="10" spans="1:3">
      <c r="A10" s="19" t="s">
        <v>479</v>
      </c>
      <c r="B10" t="s">
        <v>471</v>
      </c>
      <c r="C10" s="33" t="s">
        <v>483</v>
      </c>
    </row>
    <row r="11" spans="1:3">
      <c r="A11" s="19" t="s">
        <v>484</v>
      </c>
      <c r="B11" t="s">
        <v>485</v>
      </c>
      <c r="C11" t="s">
        <v>486</v>
      </c>
    </row>
    <row r="12" spans="1:3">
      <c r="A12" s="19" t="s">
        <v>484</v>
      </c>
      <c r="B12" t="s">
        <v>485</v>
      </c>
      <c r="C12" t="s">
        <v>487</v>
      </c>
    </row>
    <row r="13" spans="1:3">
      <c r="A13" s="19" t="s">
        <v>484</v>
      </c>
      <c r="B13" t="s">
        <v>485</v>
      </c>
      <c r="C13" t="s">
        <v>488</v>
      </c>
    </row>
    <row r="14" spans="1:3">
      <c r="A14" s="19" t="s">
        <v>484</v>
      </c>
      <c r="B14" t="s">
        <v>485</v>
      </c>
      <c r="C14" s="33" t="s">
        <v>489</v>
      </c>
    </row>
    <row r="15" spans="1:3">
      <c r="A15" s="19" t="s">
        <v>484</v>
      </c>
      <c r="B15" t="s">
        <v>485</v>
      </c>
      <c r="C15" t="s">
        <v>490</v>
      </c>
    </row>
    <row r="16" spans="1:3">
      <c r="A16" s="19" t="s">
        <v>484</v>
      </c>
      <c r="B16" t="s">
        <v>485</v>
      </c>
      <c r="C16" s="33" t="s">
        <v>491</v>
      </c>
    </row>
    <row r="17" spans="1:3">
      <c r="A17" s="19" t="s">
        <v>484</v>
      </c>
      <c r="B17" t="s">
        <v>485</v>
      </c>
      <c r="C17" t="s">
        <v>492</v>
      </c>
    </row>
    <row r="18" spans="1:3">
      <c r="A18" s="19" t="s">
        <v>484</v>
      </c>
      <c r="B18" t="s">
        <v>485</v>
      </c>
      <c r="C18" t="s">
        <v>493</v>
      </c>
    </row>
    <row r="19" spans="1:3" ht="29">
      <c r="A19" s="19" t="s">
        <v>484</v>
      </c>
      <c r="B19" t="s">
        <v>485</v>
      </c>
      <c r="C19" s="33" t="s">
        <v>494</v>
      </c>
    </row>
    <row r="20" spans="1:3">
      <c r="A20" s="19" t="s">
        <v>484</v>
      </c>
      <c r="B20" t="s">
        <v>485</v>
      </c>
      <c r="C20" t="s">
        <v>495</v>
      </c>
    </row>
    <row r="21" spans="1:3" ht="29">
      <c r="A21" s="19" t="s">
        <v>484</v>
      </c>
      <c r="B21" t="s">
        <v>485</v>
      </c>
      <c r="C21" s="33" t="s">
        <v>496</v>
      </c>
    </row>
    <row r="22" spans="1:3">
      <c r="A22" s="19" t="s">
        <v>484</v>
      </c>
      <c r="B22" t="s">
        <v>485</v>
      </c>
      <c r="C22" t="s">
        <v>497</v>
      </c>
    </row>
    <row r="23" spans="1:3" ht="29">
      <c r="A23" s="19" t="s">
        <v>498</v>
      </c>
      <c r="B23" t="s">
        <v>485</v>
      </c>
      <c r="C23" s="33" t="s">
        <v>499</v>
      </c>
    </row>
    <row r="24" spans="1:3">
      <c r="A24" s="19" t="s">
        <v>498</v>
      </c>
      <c r="B24" t="s">
        <v>485</v>
      </c>
      <c r="C24" t="s">
        <v>500</v>
      </c>
    </row>
    <row r="25" spans="1:3" ht="29">
      <c r="A25" s="19" t="s">
        <v>498</v>
      </c>
      <c r="B25" t="s">
        <v>485</v>
      </c>
      <c r="C25" s="33" t="s">
        <v>501</v>
      </c>
    </row>
    <row r="26" spans="1:3">
      <c r="A26" s="19" t="s">
        <v>498</v>
      </c>
      <c r="B26" t="s">
        <v>485</v>
      </c>
      <c r="C26" t="s">
        <v>502</v>
      </c>
    </row>
    <row r="27" spans="1:3" ht="29">
      <c r="A27" s="19" t="s">
        <v>498</v>
      </c>
      <c r="B27" t="s">
        <v>485</v>
      </c>
      <c r="C27" s="33" t="s">
        <v>503</v>
      </c>
    </row>
    <row r="28" spans="1:3">
      <c r="A28" s="19" t="s">
        <v>498</v>
      </c>
      <c r="B28" t="s">
        <v>485</v>
      </c>
      <c r="C28" t="s">
        <v>504</v>
      </c>
    </row>
    <row r="29" spans="1:3">
      <c r="A29" s="19" t="s">
        <v>505</v>
      </c>
      <c r="B29" t="s">
        <v>471</v>
      </c>
      <c r="C29" t="s">
        <v>475</v>
      </c>
    </row>
    <row r="30" spans="1:3">
      <c r="A30" s="19" t="s">
        <v>505</v>
      </c>
      <c r="B30" t="s">
        <v>471</v>
      </c>
      <c r="C30" s="33" t="s">
        <v>472</v>
      </c>
    </row>
    <row r="31" spans="1:3">
      <c r="A31" s="19" t="s">
        <v>505</v>
      </c>
      <c r="B31" t="s">
        <v>471</v>
      </c>
      <c r="C31" t="s">
        <v>473</v>
      </c>
    </row>
    <row r="32" spans="1:3">
      <c r="A32" s="19" t="s">
        <v>505</v>
      </c>
      <c r="B32" t="s">
        <v>471</v>
      </c>
      <c r="C32" t="s">
        <v>476</v>
      </c>
    </row>
    <row r="33" spans="1:3">
      <c r="A33" s="19" t="s">
        <v>505</v>
      </c>
      <c r="B33" t="s">
        <v>471</v>
      </c>
      <c r="C33" s="33" t="s">
        <v>478</v>
      </c>
    </row>
    <row r="34" spans="1:3">
      <c r="A34" s="19" t="s">
        <v>505</v>
      </c>
      <c r="B34" t="s">
        <v>471</v>
      </c>
      <c r="C34" t="s">
        <v>480</v>
      </c>
    </row>
    <row r="35" spans="1:3">
      <c r="A35" s="19" t="s">
        <v>506</v>
      </c>
      <c r="B35" t="s">
        <v>471</v>
      </c>
      <c r="C35" t="s">
        <v>481</v>
      </c>
    </row>
    <row r="36" spans="1:3">
      <c r="A36" s="19" t="s">
        <v>506</v>
      </c>
      <c r="B36" t="s">
        <v>471</v>
      </c>
      <c r="C36" t="s">
        <v>482</v>
      </c>
    </row>
    <row r="37" spans="1:3">
      <c r="A37" s="19" t="s">
        <v>506</v>
      </c>
      <c r="B37" t="s">
        <v>471</v>
      </c>
      <c r="C37" t="s">
        <v>483</v>
      </c>
    </row>
    <row r="38" spans="1:3">
      <c r="A38" s="19" t="s">
        <v>507</v>
      </c>
      <c r="B38" t="s">
        <v>485</v>
      </c>
      <c r="C38" t="s">
        <v>486</v>
      </c>
    </row>
    <row r="39" spans="1:3">
      <c r="A39" s="19" t="s">
        <v>507</v>
      </c>
      <c r="B39" t="s">
        <v>485</v>
      </c>
      <c r="C39" t="s">
        <v>487</v>
      </c>
    </row>
    <row r="40" spans="1:3">
      <c r="A40" s="19" t="s">
        <v>507</v>
      </c>
      <c r="B40" t="s">
        <v>485</v>
      </c>
      <c r="C40" t="s">
        <v>488</v>
      </c>
    </row>
    <row r="41" spans="1:3">
      <c r="A41" s="19" t="s">
        <v>507</v>
      </c>
      <c r="B41" t="s">
        <v>485</v>
      </c>
      <c r="C41" t="s">
        <v>489</v>
      </c>
    </row>
    <row r="42" spans="1:3">
      <c r="A42" s="19" t="s">
        <v>507</v>
      </c>
      <c r="B42" t="s">
        <v>485</v>
      </c>
      <c r="C42" t="s">
        <v>490</v>
      </c>
    </row>
    <row r="43" spans="1:3">
      <c r="A43" s="19" t="s">
        <v>507</v>
      </c>
      <c r="B43" t="s">
        <v>485</v>
      </c>
      <c r="C43" t="s">
        <v>491</v>
      </c>
    </row>
    <row r="44" spans="1:3">
      <c r="A44" s="19" t="s">
        <v>507</v>
      </c>
      <c r="B44" t="s">
        <v>485</v>
      </c>
      <c r="C44" t="s">
        <v>492</v>
      </c>
    </row>
    <row r="45" spans="1:3">
      <c r="A45" s="19" t="s">
        <v>507</v>
      </c>
      <c r="B45" t="s">
        <v>485</v>
      </c>
      <c r="C45" t="s">
        <v>493</v>
      </c>
    </row>
    <row r="46" spans="1:3" ht="29">
      <c r="A46" s="19" t="s">
        <v>507</v>
      </c>
      <c r="B46" t="s">
        <v>485</v>
      </c>
      <c r="C46" s="33" t="s">
        <v>494</v>
      </c>
    </row>
    <row r="47" spans="1:3">
      <c r="A47" s="19" t="s">
        <v>507</v>
      </c>
      <c r="B47" t="s">
        <v>485</v>
      </c>
      <c r="C47" t="s">
        <v>495</v>
      </c>
    </row>
    <row r="48" spans="1:3" ht="29">
      <c r="A48" s="19" t="s">
        <v>507</v>
      </c>
      <c r="B48" t="s">
        <v>485</v>
      </c>
      <c r="C48" s="33" t="s">
        <v>496</v>
      </c>
    </row>
    <row r="49" spans="1:3">
      <c r="A49" s="19" t="s">
        <v>507</v>
      </c>
      <c r="B49" t="s">
        <v>485</v>
      </c>
      <c r="C49" t="s">
        <v>497</v>
      </c>
    </row>
    <row r="50" spans="1:3" ht="29">
      <c r="A50" s="19" t="s">
        <v>507</v>
      </c>
      <c r="B50" t="s">
        <v>485</v>
      </c>
      <c r="C50" s="33" t="s">
        <v>499</v>
      </c>
    </row>
    <row r="51" spans="1:3">
      <c r="A51" s="19" t="s">
        <v>507</v>
      </c>
      <c r="B51" t="s">
        <v>485</v>
      </c>
      <c r="C51" t="s">
        <v>500</v>
      </c>
    </row>
    <row r="52" spans="1:3" ht="29">
      <c r="A52" s="19" t="s">
        <v>507</v>
      </c>
      <c r="B52" t="s">
        <v>485</v>
      </c>
      <c r="C52" s="33" t="s">
        <v>501</v>
      </c>
    </row>
    <row r="53" spans="1:3">
      <c r="A53" s="19" t="s">
        <v>507</v>
      </c>
      <c r="B53" t="s">
        <v>485</v>
      </c>
      <c r="C53" t="s">
        <v>502</v>
      </c>
    </row>
    <row r="54" spans="1:3" ht="29">
      <c r="A54" s="19" t="s">
        <v>507</v>
      </c>
      <c r="B54" t="s">
        <v>485</v>
      </c>
      <c r="C54" s="33" t="s">
        <v>503</v>
      </c>
    </row>
    <row r="55" spans="1:3">
      <c r="A55" s="19" t="s">
        <v>507</v>
      </c>
      <c r="B55" t="s">
        <v>485</v>
      </c>
      <c r="C55" t="s">
        <v>504</v>
      </c>
    </row>
    <row r="56" spans="1:3">
      <c r="A56" s="19" t="s">
        <v>508</v>
      </c>
      <c r="B56" t="s">
        <v>471</v>
      </c>
      <c r="C56" t="s">
        <v>475</v>
      </c>
    </row>
    <row r="57" spans="1:3">
      <c r="A57" s="19" t="s">
        <v>508</v>
      </c>
      <c r="B57" t="s">
        <v>471</v>
      </c>
      <c r="C57" s="33" t="s">
        <v>472</v>
      </c>
    </row>
    <row r="58" spans="1:3">
      <c r="A58" s="19" t="s">
        <v>508</v>
      </c>
      <c r="B58" t="s">
        <v>471</v>
      </c>
      <c r="C58" t="s">
        <v>473</v>
      </c>
    </row>
    <row r="59" spans="1:3">
      <c r="A59" s="19" t="s">
        <v>508</v>
      </c>
      <c r="B59" t="s">
        <v>471</v>
      </c>
      <c r="C59" t="s">
        <v>476</v>
      </c>
    </row>
    <row r="60" spans="1:3">
      <c r="A60" s="19" t="s">
        <v>508</v>
      </c>
      <c r="B60" t="s">
        <v>471</v>
      </c>
      <c r="C60" t="s">
        <v>478</v>
      </c>
    </row>
    <row r="61" spans="1:3">
      <c r="A61" s="19" t="s">
        <v>508</v>
      </c>
      <c r="B61" t="s">
        <v>471</v>
      </c>
      <c r="C61" t="s">
        <v>480</v>
      </c>
    </row>
    <row r="62" spans="1:3">
      <c r="A62" s="19" t="s">
        <v>508</v>
      </c>
      <c r="B62" t="s">
        <v>471</v>
      </c>
      <c r="C62" t="s">
        <v>481</v>
      </c>
    </row>
    <row r="63" spans="1:3">
      <c r="A63" s="19" t="s">
        <v>508</v>
      </c>
      <c r="B63" t="s">
        <v>471</v>
      </c>
      <c r="C63" t="s">
        <v>482</v>
      </c>
    </row>
    <row r="64" spans="1:3">
      <c r="A64" s="19" t="s">
        <v>508</v>
      </c>
      <c r="B64" t="s">
        <v>471</v>
      </c>
      <c r="C64" t="s">
        <v>483</v>
      </c>
    </row>
    <row r="65" spans="1:3">
      <c r="A65" s="19" t="s">
        <v>509</v>
      </c>
      <c r="B65" t="s">
        <v>485</v>
      </c>
      <c r="C65" t="s">
        <v>486</v>
      </c>
    </row>
    <row r="66" spans="1:3">
      <c r="A66" s="19" t="s">
        <v>509</v>
      </c>
      <c r="B66" t="s">
        <v>485</v>
      </c>
      <c r="C66" t="s">
        <v>487</v>
      </c>
    </row>
    <row r="67" spans="1:3">
      <c r="A67" s="19" t="s">
        <v>509</v>
      </c>
      <c r="B67" t="s">
        <v>485</v>
      </c>
      <c r="C67" t="s">
        <v>488</v>
      </c>
    </row>
    <row r="68" spans="1:3">
      <c r="A68" s="19" t="s">
        <v>509</v>
      </c>
      <c r="B68" t="s">
        <v>485</v>
      </c>
      <c r="C68" t="s">
        <v>489</v>
      </c>
    </row>
    <row r="69" spans="1:3">
      <c r="A69" s="19" t="s">
        <v>509</v>
      </c>
      <c r="B69" t="s">
        <v>485</v>
      </c>
      <c r="C69" t="s">
        <v>490</v>
      </c>
    </row>
    <row r="70" spans="1:3">
      <c r="A70" s="19" t="s">
        <v>509</v>
      </c>
      <c r="B70" t="s">
        <v>485</v>
      </c>
      <c r="C70" t="s">
        <v>491</v>
      </c>
    </row>
    <row r="71" spans="1:3">
      <c r="A71" s="19" t="s">
        <v>509</v>
      </c>
      <c r="B71" t="s">
        <v>485</v>
      </c>
      <c r="C71" t="s">
        <v>492</v>
      </c>
    </row>
    <row r="72" spans="1:3">
      <c r="A72" s="19" t="s">
        <v>509</v>
      </c>
      <c r="B72" t="s">
        <v>485</v>
      </c>
      <c r="C72" t="s">
        <v>493</v>
      </c>
    </row>
    <row r="73" spans="1:3" ht="29">
      <c r="A73" s="19" t="s">
        <v>509</v>
      </c>
      <c r="B73" t="s">
        <v>485</v>
      </c>
      <c r="C73" s="33" t="s">
        <v>494</v>
      </c>
    </row>
    <row r="74" spans="1:3">
      <c r="A74" s="19" t="s">
        <v>509</v>
      </c>
      <c r="B74" t="s">
        <v>485</v>
      </c>
      <c r="C74" t="s">
        <v>495</v>
      </c>
    </row>
    <row r="75" spans="1:3" ht="29">
      <c r="A75" s="19" t="s">
        <v>509</v>
      </c>
      <c r="B75" t="s">
        <v>485</v>
      </c>
      <c r="C75" s="33" t="s">
        <v>496</v>
      </c>
    </row>
    <row r="76" spans="1:3">
      <c r="A76" s="19" t="s">
        <v>509</v>
      </c>
      <c r="B76" t="s">
        <v>485</v>
      </c>
      <c r="C76" t="s">
        <v>497</v>
      </c>
    </row>
    <row r="77" spans="1:3" ht="29">
      <c r="A77" s="19" t="s">
        <v>510</v>
      </c>
      <c r="B77" t="s">
        <v>485</v>
      </c>
      <c r="C77" s="33" t="s">
        <v>499</v>
      </c>
    </row>
    <row r="78" spans="1:3">
      <c r="A78" s="19" t="s">
        <v>510</v>
      </c>
      <c r="B78" t="s">
        <v>485</v>
      </c>
      <c r="C78" t="s">
        <v>500</v>
      </c>
    </row>
    <row r="79" spans="1:3" ht="29">
      <c r="A79" s="19" t="s">
        <v>511</v>
      </c>
      <c r="B79" t="s">
        <v>485</v>
      </c>
      <c r="C79" s="33" t="s">
        <v>501</v>
      </c>
    </row>
    <row r="80" spans="1:3">
      <c r="A80" s="19" t="s">
        <v>511</v>
      </c>
      <c r="B80" t="s">
        <v>485</v>
      </c>
      <c r="C80" t="s">
        <v>502</v>
      </c>
    </row>
    <row r="81" spans="1:3" ht="29">
      <c r="A81" s="19" t="s">
        <v>511</v>
      </c>
      <c r="B81" t="s">
        <v>485</v>
      </c>
      <c r="C81" s="33" t="s">
        <v>503</v>
      </c>
    </row>
    <row r="82" spans="1:3">
      <c r="A82" s="19" t="s">
        <v>511</v>
      </c>
      <c r="B82" t="s">
        <v>485</v>
      </c>
      <c r="C82" t="s">
        <v>504</v>
      </c>
    </row>
    <row r="83" spans="1:3">
      <c r="A83" s="19" t="s">
        <v>512</v>
      </c>
      <c r="B83" t="s">
        <v>471</v>
      </c>
      <c r="C83" t="s">
        <v>475</v>
      </c>
    </row>
    <row r="84" spans="1:3">
      <c r="A84" s="19" t="s">
        <v>512</v>
      </c>
      <c r="B84" t="s">
        <v>471</v>
      </c>
      <c r="C84" t="s">
        <v>472</v>
      </c>
    </row>
    <row r="85" spans="1:3">
      <c r="A85" s="19" t="s">
        <v>512</v>
      </c>
      <c r="B85" t="s">
        <v>471</v>
      </c>
      <c r="C85" t="s">
        <v>513</v>
      </c>
    </row>
    <row r="86" spans="1:3">
      <c r="A86" s="19" t="s">
        <v>512</v>
      </c>
      <c r="B86" t="s">
        <v>471</v>
      </c>
      <c r="C86" t="s">
        <v>476</v>
      </c>
    </row>
    <row r="87" spans="1:3">
      <c r="A87" s="19" t="s">
        <v>512</v>
      </c>
      <c r="B87" t="s">
        <v>471</v>
      </c>
      <c r="C87" t="s">
        <v>478</v>
      </c>
    </row>
    <row r="88" spans="1:3">
      <c r="A88" s="19" t="s">
        <v>512</v>
      </c>
      <c r="B88" t="s">
        <v>471</v>
      </c>
      <c r="C88" t="s">
        <v>480</v>
      </c>
    </row>
    <row r="89" spans="1:3">
      <c r="A89" s="19" t="s">
        <v>512</v>
      </c>
      <c r="B89" t="s">
        <v>471</v>
      </c>
      <c r="C89" t="s">
        <v>481</v>
      </c>
    </row>
    <row r="90" spans="1:3">
      <c r="A90" s="19" t="s">
        <v>512</v>
      </c>
      <c r="B90" t="s">
        <v>471</v>
      </c>
      <c r="C90" t="s">
        <v>514</v>
      </c>
    </row>
    <row r="91" spans="1:3">
      <c r="A91" s="19" t="s">
        <v>512</v>
      </c>
      <c r="B91" t="s">
        <v>471</v>
      </c>
      <c r="C91" s="33" t="s">
        <v>515</v>
      </c>
    </row>
    <row r="92" spans="1:3">
      <c r="A92" s="19" t="s">
        <v>512</v>
      </c>
      <c r="B92" t="s">
        <v>471</v>
      </c>
      <c r="C92" t="s">
        <v>516</v>
      </c>
    </row>
    <row r="93" spans="1:3">
      <c r="A93" s="19" t="s">
        <v>512</v>
      </c>
      <c r="B93" t="s">
        <v>471</v>
      </c>
      <c r="C93" t="s">
        <v>517</v>
      </c>
    </row>
    <row r="94" spans="1:3">
      <c r="A94" s="19" t="s">
        <v>512</v>
      </c>
      <c r="B94" t="s">
        <v>471</v>
      </c>
      <c r="C94" s="33" t="s">
        <v>518</v>
      </c>
    </row>
    <row r="95" spans="1:3">
      <c r="A95" s="19" t="s">
        <v>512</v>
      </c>
      <c r="B95" t="s">
        <v>471</v>
      </c>
      <c r="C95" t="s">
        <v>519</v>
      </c>
    </row>
    <row r="96" spans="1:3">
      <c r="A96" s="19" t="s">
        <v>512</v>
      </c>
      <c r="B96" t="s">
        <v>471</v>
      </c>
      <c r="C96" t="s">
        <v>520</v>
      </c>
    </row>
    <row r="97" spans="1:3">
      <c r="A97" s="19" t="s">
        <v>512</v>
      </c>
      <c r="B97" t="s">
        <v>471</v>
      </c>
      <c r="C97" t="s">
        <v>521</v>
      </c>
    </row>
    <row r="98" spans="1:3">
      <c r="A98" s="19" t="s">
        <v>522</v>
      </c>
      <c r="B98" t="s">
        <v>485</v>
      </c>
      <c r="C98" t="s">
        <v>486</v>
      </c>
    </row>
    <row r="99" spans="1:3">
      <c r="A99" s="19" t="s">
        <v>522</v>
      </c>
      <c r="B99" t="s">
        <v>485</v>
      </c>
      <c r="C99" t="s">
        <v>487</v>
      </c>
    </row>
    <row r="100" spans="1:3">
      <c r="A100" s="19" t="s">
        <v>522</v>
      </c>
      <c r="B100" t="s">
        <v>485</v>
      </c>
      <c r="C100" t="s">
        <v>488</v>
      </c>
    </row>
    <row r="101" spans="1:3">
      <c r="A101" s="19" t="s">
        <v>522</v>
      </c>
      <c r="B101" t="s">
        <v>485</v>
      </c>
      <c r="C101" t="s">
        <v>489</v>
      </c>
    </row>
    <row r="102" spans="1:3">
      <c r="A102" s="19" t="s">
        <v>522</v>
      </c>
      <c r="B102" t="s">
        <v>485</v>
      </c>
      <c r="C102" t="s">
        <v>490</v>
      </c>
    </row>
    <row r="103" spans="1:3">
      <c r="A103" s="19" t="s">
        <v>522</v>
      </c>
      <c r="B103" t="s">
        <v>485</v>
      </c>
      <c r="C103" t="s">
        <v>491</v>
      </c>
    </row>
    <row r="104" spans="1:3">
      <c r="A104" s="19" t="s">
        <v>522</v>
      </c>
      <c r="B104" t="s">
        <v>485</v>
      </c>
      <c r="C104" t="s">
        <v>492</v>
      </c>
    </row>
    <row r="105" spans="1:3" ht="43.5">
      <c r="A105" s="19" t="s">
        <v>522</v>
      </c>
      <c r="B105" t="s">
        <v>485</v>
      </c>
      <c r="C105" s="33" t="s">
        <v>493</v>
      </c>
    </row>
    <row r="106" spans="1:3" ht="29">
      <c r="A106" s="19" t="s">
        <v>522</v>
      </c>
      <c r="B106" t="s">
        <v>485</v>
      </c>
      <c r="C106" s="33" t="s">
        <v>494</v>
      </c>
    </row>
    <row r="107" spans="1:3" ht="43.5">
      <c r="A107" s="19" t="s">
        <v>522</v>
      </c>
      <c r="B107" t="s">
        <v>485</v>
      </c>
      <c r="C107" s="33" t="s">
        <v>495</v>
      </c>
    </row>
    <row r="108" spans="1:3" ht="29">
      <c r="A108" s="19" t="s">
        <v>522</v>
      </c>
      <c r="B108" t="s">
        <v>485</v>
      </c>
      <c r="C108" s="33" t="s">
        <v>496</v>
      </c>
    </row>
    <row r="109" spans="1:3" ht="43.5">
      <c r="A109" s="19" t="s">
        <v>522</v>
      </c>
      <c r="B109" t="s">
        <v>485</v>
      </c>
      <c r="C109" s="33" t="s">
        <v>497</v>
      </c>
    </row>
    <row r="110" spans="1:3" ht="29">
      <c r="A110" s="19" t="s">
        <v>522</v>
      </c>
      <c r="B110" t="s">
        <v>485</v>
      </c>
      <c r="C110" s="33" t="s">
        <v>499</v>
      </c>
    </row>
    <row r="111" spans="1:3" ht="43.5">
      <c r="A111" s="19" t="s">
        <v>522</v>
      </c>
      <c r="B111" t="s">
        <v>485</v>
      </c>
      <c r="C111" s="33" t="s">
        <v>500</v>
      </c>
    </row>
    <row r="112" spans="1:3" ht="29">
      <c r="A112" s="19" t="s">
        <v>522</v>
      </c>
      <c r="B112" t="s">
        <v>485</v>
      </c>
      <c r="C112" s="33" t="s">
        <v>501</v>
      </c>
    </row>
    <row r="113" spans="1:3">
      <c r="A113" s="19" t="s">
        <v>522</v>
      </c>
      <c r="B113" t="s">
        <v>485</v>
      </c>
      <c r="C113" t="s">
        <v>502</v>
      </c>
    </row>
    <row r="114" spans="1:3" ht="29">
      <c r="A114" s="19" t="s">
        <v>522</v>
      </c>
      <c r="B114" t="s">
        <v>485</v>
      </c>
      <c r="C114" s="33" t="s">
        <v>503</v>
      </c>
    </row>
    <row r="115" spans="1:3">
      <c r="A115" s="19" t="s">
        <v>522</v>
      </c>
      <c r="B115" t="s">
        <v>485</v>
      </c>
      <c r="C115" t="s">
        <v>504</v>
      </c>
    </row>
    <row r="116" spans="1:3">
      <c r="A116" s="19" t="s">
        <v>523</v>
      </c>
      <c r="B116" t="s">
        <v>471</v>
      </c>
      <c r="C116" t="s">
        <v>475</v>
      </c>
    </row>
    <row r="117" spans="1:3">
      <c r="A117" s="19" t="s">
        <v>523</v>
      </c>
      <c r="B117" t="s">
        <v>471</v>
      </c>
      <c r="C117" s="33" t="s">
        <v>472</v>
      </c>
    </row>
    <row r="118" spans="1:3">
      <c r="A118" s="19" t="s">
        <v>523</v>
      </c>
      <c r="B118" t="s">
        <v>471</v>
      </c>
      <c r="C118" t="s">
        <v>513</v>
      </c>
    </row>
    <row r="119" spans="1:3">
      <c r="A119" s="19" t="s">
        <v>523</v>
      </c>
      <c r="B119" t="s">
        <v>471</v>
      </c>
      <c r="C119" t="s">
        <v>476</v>
      </c>
    </row>
    <row r="120" spans="1:3">
      <c r="A120" s="19" t="s">
        <v>523</v>
      </c>
      <c r="B120" t="s">
        <v>471</v>
      </c>
      <c r="C120" t="s">
        <v>478</v>
      </c>
    </row>
    <row r="121" spans="1:3">
      <c r="A121" s="19" t="s">
        <v>523</v>
      </c>
      <c r="B121" t="s">
        <v>471</v>
      </c>
      <c r="C121" t="s">
        <v>480</v>
      </c>
    </row>
    <row r="122" spans="1:3">
      <c r="A122" s="19" t="s">
        <v>523</v>
      </c>
      <c r="B122" t="s">
        <v>471</v>
      </c>
      <c r="C122" t="s">
        <v>481</v>
      </c>
    </row>
    <row r="123" spans="1:3">
      <c r="A123" s="19" t="s">
        <v>524</v>
      </c>
      <c r="B123" t="s">
        <v>471</v>
      </c>
      <c r="C123" s="33" t="s">
        <v>514</v>
      </c>
    </row>
    <row r="124" spans="1:3">
      <c r="A124" s="19" t="s">
        <v>524</v>
      </c>
      <c r="B124" t="s">
        <v>471</v>
      </c>
      <c r="C124" t="s">
        <v>515</v>
      </c>
    </row>
    <row r="125" spans="1:3">
      <c r="A125" s="19" t="s">
        <v>524</v>
      </c>
      <c r="B125" t="s">
        <v>471</v>
      </c>
      <c r="C125" t="s">
        <v>516</v>
      </c>
    </row>
    <row r="126" spans="1:3">
      <c r="A126" s="19" t="s">
        <v>524</v>
      </c>
      <c r="B126" t="s">
        <v>471</v>
      </c>
      <c r="C126" t="s">
        <v>517</v>
      </c>
    </row>
    <row r="127" spans="1:3">
      <c r="A127" s="19" t="s">
        <v>524</v>
      </c>
      <c r="B127" t="s">
        <v>471</v>
      </c>
      <c r="C127" t="s">
        <v>518</v>
      </c>
    </row>
    <row r="128" spans="1:3">
      <c r="A128" s="19" t="s">
        <v>524</v>
      </c>
      <c r="B128" t="s">
        <v>471</v>
      </c>
      <c r="C128" t="s">
        <v>519</v>
      </c>
    </row>
    <row r="129" spans="1:3">
      <c r="A129" s="19" t="s">
        <v>524</v>
      </c>
      <c r="B129" t="s">
        <v>471</v>
      </c>
      <c r="C129" t="s">
        <v>520</v>
      </c>
    </row>
    <row r="130" spans="1:3">
      <c r="A130" s="19" t="s">
        <v>524</v>
      </c>
      <c r="B130" t="s">
        <v>471</v>
      </c>
      <c r="C130" t="s">
        <v>521</v>
      </c>
    </row>
    <row r="131" spans="1:3">
      <c r="A131" s="19" t="s">
        <v>525</v>
      </c>
      <c r="B131" t="s">
        <v>485</v>
      </c>
      <c r="C131" t="s">
        <v>486</v>
      </c>
    </row>
    <row r="132" spans="1:3">
      <c r="A132" s="19" t="s">
        <v>525</v>
      </c>
      <c r="B132" t="s">
        <v>485</v>
      </c>
      <c r="C132" t="s">
        <v>487</v>
      </c>
    </row>
    <row r="133" spans="1:3">
      <c r="A133" s="19" t="s">
        <v>525</v>
      </c>
      <c r="B133" t="s">
        <v>485</v>
      </c>
      <c r="C133" t="s">
        <v>488</v>
      </c>
    </row>
    <row r="134" spans="1:3">
      <c r="A134" s="19" t="s">
        <v>525</v>
      </c>
      <c r="B134" t="s">
        <v>485</v>
      </c>
      <c r="C134" t="s">
        <v>489</v>
      </c>
    </row>
    <row r="135" spans="1:3">
      <c r="A135" s="19" t="s">
        <v>525</v>
      </c>
      <c r="B135" t="s">
        <v>485</v>
      </c>
      <c r="C135" t="s">
        <v>490</v>
      </c>
    </row>
    <row r="136" spans="1:3">
      <c r="A136" s="19" t="s">
        <v>525</v>
      </c>
      <c r="B136" t="s">
        <v>485</v>
      </c>
      <c r="C136" t="s">
        <v>491</v>
      </c>
    </row>
    <row r="137" spans="1:3">
      <c r="A137" s="19" t="s">
        <v>525</v>
      </c>
      <c r="B137" t="s">
        <v>485</v>
      </c>
      <c r="C137" t="s">
        <v>492</v>
      </c>
    </row>
    <row r="138" spans="1:3">
      <c r="A138" s="19" t="s">
        <v>525</v>
      </c>
      <c r="B138" t="s">
        <v>485</v>
      </c>
      <c r="C138" s="33" t="s">
        <v>526</v>
      </c>
    </row>
    <row r="139" spans="1:3">
      <c r="A139" s="19" t="s">
        <v>527</v>
      </c>
      <c r="B139" t="s">
        <v>471</v>
      </c>
      <c r="C139" t="s">
        <v>475</v>
      </c>
    </row>
    <row r="140" spans="1:3">
      <c r="A140" s="19" t="s">
        <v>527</v>
      </c>
      <c r="B140" t="s">
        <v>471</v>
      </c>
      <c r="C140" s="33" t="s">
        <v>528</v>
      </c>
    </row>
    <row r="141" spans="1:3">
      <c r="A141" s="19" t="s">
        <v>527</v>
      </c>
      <c r="B141" t="s">
        <v>471</v>
      </c>
      <c r="C141" t="s">
        <v>529</v>
      </c>
    </row>
    <row r="142" spans="1:3">
      <c r="A142" s="19" t="s">
        <v>527</v>
      </c>
      <c r="B142" t="s">
        <v>471</v>
      </c>
      <c r="C142" s="33" t="s">
        <v>476</v>
      </c>
    </row>
    <row r="143" spans="1:3">
      <c r="A143" s="19" t="s">
        <v>527</v>
      </c>
      <c r="B143" t="s">
        <v>471</v>
      </c>
      <c r="C143" t="s">
        <v>530</v>
      </c>
    </row>
    <row r="144" spans="1:3">
      <c r="A144" s="19" t="s">
        <v>531</v>
      </c>
      <c r="B144" t="s">
        <v>485</v>
      </c>
      <c r="C144" s="33" t="s">
        <v>486</v>
      </c>
    </row>
    <row r="145" spans="1:3">
      <c r="A145" s="19" t="s">
        <v>531</v>
      </c>
      <c r="B145" t="s">
        <v>485</v>
      </c>
      <c r="C145" t="s">
        <v>487</v>
      </c>
    </row>
    <row r="146" spans="1:3">
      <c r="A146" s="19" t="s">
        <v>531</v>
      </c>
      <c r="B146" t="s">
        <v>485</v>
      </c>
      <c r="C146" t="s">
        <v>488</v>
      </c>
    </row>
    <row r="147" spans="1:3">
      <c r="A147" s="19" t="s">
        <v>531</v>
      </c>
      <c r="B147" t="s">
        <v>485</v>
      </c>
      <c r="C147" t="s">
        <v>489</v>
      </c>
    </row>
    <row r="148" spans="1:3">
      <c r="A148" s="19" t="s">
        <v>531</v>
      </c>
      <c r="B148" t="s">
        <v>485</v>
      </c>
      <c r="C148" t="s">
        <v>490</v>
      </c>
    </row>
    <row r="149" spans="1:3">
      <c r="A149" s="19" t="s">
        <v>531</v>
      </c>
      <c r="B149" t="s">
        <v>485</v>
      </c>
      <c r="C149" t="s">
        <v>491</v>
      </c>
    </row>
    <row r="150" spans="1:3">
      <c r="A150" s="19" t="s">
        <v>531</v>
      </c>
      <c r="B150" t="s">
        <v>485</v>
      </c>
      <c r="C150" t="s">
        <v>492</v>
      </c>
    </row>
    <row r="151" spans="1:3">
      <c r="A151" s="19" t="s">
        <v>531</v>
      </c>
      <c r="B151" t="s">
        <v>485</v>
      </c>
      <c r="C151" t="s">
        <v>493</v>
      </c>
    </row>
    <row r="152" spans="1:3" ht="29">
      <c r="A152" s="19" t="s">
        <v>532</v>
      </c>
      <c r="B152" t="s">
        <v>485</v>
      </c>
      <c r="C152" s="33" t="s">
        <v>494</v>
      </c>
    </row>
    <row r="153" spans="1:3" ht="43.5">
      <c r="A153" s="19" t="s">
        <v>532</v>
      </c>
      <c r="B153" t="s">
        <v>485</v>
      </c>
      <c r="C153" s="33" t="s">
        <v>495</v>
      </c>
    </row>
    <row r="154" spans="1:3" ht="29">
      <c r="A154" s="19" t="s">
        <v>532</v>
      </c>
      <c r="B154" t="s">
        <v>485</v>
      </c>
      <c r="C154" s="33" t="s">
        <v>496</v>
      </c>
    </row>
    <row r="155" spans="1:3">
      <c r="A155" s="19" t="s">
        <v>532</v>
      </c>
      <c r="B155" t="s">
        <v>485</v>
      </c>
      <c r="C155" t="s">
        <v>497</v>
      </c>
    </row>
    <row r="156" spans="1:3" ht="29">
      <c r="A156" s="19" t="s">
        <v>532</v>
      </c>
      <c r="B156" t="s">
        <v>485</v>
      </c>
      <c r="C156" s="33" t="s">
        <v>499</v>
      </c>
    </row>
    <row r="157" spans="1:3">
      <c r="A157" s="19" t="s">
        <v>532</v>
      </c>
      <c r="B157" t="s">
        <v>485</v>
      </c>
      <c r="C157" t="s">
        <v>500</v>
      </c>
    </row>
    <row r="158" spans="1:3" ht="29">
      <c r="A158" s="19" t="s">
        <v>532</v>
      </c>
      <c r="B158" t="s">
        <v>485</v>
      </c>
      <c r="C158" s="33" t="s">
        <v>501</v>
      </c>
    </row>
    <row r="159" spans="1:3">
      <c r="A159" s="19" t="s">
        <v>532</v>
      </c>
      <c r="B159" t="s">
        <v>485</v>
      </c>
      <c r="C159" t="s">
        <v>502</v>
      </c>
    </row>
    <row r="160" spans="1:3" ht="29">
      <c r="A160" s="19" t="s">
        <v>532</v>
      </c>
      <c r="B160" t="s">
        <v>485</v>
      </c>
      <c r="C160" s="33" t="s">
        <v>503</v>
      </c>
    </row>
    <row r="161" spans="1:3">
      <c r="A161" s="19" t="s">
        <v>532</v>
      </c>
      <c r="B161" t="s">
        <v>485</v>
      </c>
      <c r="C161" t="s">
        <v>504</v>
      </c>
    </row>
    <row r="162" spans="1:3">
      <c r="A162" s="19" t="s">
        <v>533</v>
      </c>
      <c r="B162" t="s">
        <v>471</v>
      </c>
      <c r="C162" s="33" t="s">
        <v>475</v>
      </c>
    </row>
    <row r="163" spans="1:3">
      <c r="A163" s="19" t="s">
        <v>533</v>
      </c>
      <c r="B163" t="s">
        <v>471</v>
      </c>
      <c r="C163" t="s">
        <v>528</v>
      </c>
    </row>
    <row r="164" spans="1:3">
      <c r="A164" s="19" t="s">
        <v>533</v>
      </c>
      <c r="B164" t="s">
        <v>471</v>
      </c>
      <c r="C164" t="s">
        <v>529</v>
      </c>
    </row>
    <row r="165" spans="1:3">
      <c r="A165" s="19" t="s">
        <v>533</v>
      </c>
      <c r="B165" t="s">
        <v>471</v>
      </c>
      <c r="C165" t="s">
        <v>476</v>
      </c>
    </row>
    <row r="166" spans="1:3">
      <c r="A166" s="19" t="s">
        <v>533</v>
      </c>
      <c r="B166" t="s">
        <v>471</v>
      </c>
      <c r="C166" t="s">
        <v>478</v>
      </c>
    </row>
    <row r="167" spans="1:3">
      <c r="A167" s="19" t="s">
        <v>533</v>
      </c>
      <c r="B167" t="s">
        <v>471</v>
      </c>
      <c r="C167" t="s">
        <v>480</v>
      </c>
    </row>
    <row r="168" spans="1:3">
      <c r="A168" s="19" t="s">
        <v>533</v>
      </c>
      <c r="B168" t="s">
        <v>471</v>
      </c>
      <c r="C168" t="s">
        <v>481</v>
      </c>
    </row>
    <row r="169" spans="1:3">
      <c r="A169" s="19" t="s">
        <v>533</v>
      </c>
      <c r="B169" t="s">
        <v>471</v>
      </c>
      <c r="C169" t="s">
        <v>514</v>
      </c>
    </row>
    <row r="170" spans="1:3">
      <c r="A170" s="19" t="s">
        <v>533</v>
      </c>
      <c r="B170" t="s">
        <v>471</v>
      </c>
      <c r="C170" t="s">
        <v>515</v>
      </c>
    </row>
    <row r="171" spans="1:3">
      <c r="A171" s="19" t="s">
        <v>533</v>
      </c>
      <c r="B171" t="s">
        <v>471</v>
      </c>
      <c r="C171" t="s">
        <v>516</v>
      </c>
    </row>
    <row r="172" spans="1:3">
      <c r="A172" s="19" t="s">
        <v>533</v>
      </c>
      <c r="B172" t="s">
        <v>471</v>
      </c>
      <c r="C172" t="s">
        <v>517</v>
      </c>
    </row>
    <row r="173" spans="1:3">
      <c r="A173" s="19" t="s">
        <v>533</v>
      </c>
      <c r="B173" t="s">
        <v>471</v>
      </c>
      <c r="C173" t="s">
        <v>518</v>
      </c>
    </row>
    <row r="174" spans="1:3">
      <c r="A174" s="19" t="s">
        <v>533</v>
      </c>
      <c r="B174" t="s">
        <v>471</v>
      </c>
      <c r="C174" t="s">
        <v>519</v>
      </c>
    </row>
    <row r="175" spans="1:3">
      <c r="A175" s="19" t="s">
        <v>533</v>
      </c>
      <c r="B175" t="s">
        <v>471</v>
      </c>
      <c r="C175" t="s">
        <v>534</v>
      </c>
    </row>
    <row r="176" spans="1:3">
      <c r="A176" s="19" t="s">
        <v>533</v>
      </c>
      <c r="B176" t="s">
        <v>471</v>
      </c>
      <c r="C176" s="33" t="s">
        <v>521</v>
      </c>
    </row>
    <row r="177" spans="1:3">
      <c r="A177" s="19" t="s">
        <v>535</v>
      </c>
      <c r="B177" t="s">
        <v>536</v>
      </c>
    </row>
    <row r="178" spans="1:3">
      <c r="A178" s="19" t="s">
        <v>535</v>
      </c>
      <c r="B178" t="s">
        <v>537</v>
      </c>
      <c r="C178" s="33" t="s">
        <v>538</v>
      </c>
    </row>
    <row r="179" spans="1:3">
      <c r="A179" s="19" t="s">
        <v>535</v>
      </c>
      <c r="B179" t="s">
        <v>537</v>
      </c>
      <c r="C179" t="s">
        <v>539</v>
      </c>
    </row>
    <row r="180" spans="1:3">
      <c r="A180" s="19" t="s">
        <v>535</v>
      </c>
      <c r="B180" t="s">
        <v>536</v>
      </c>
      <c r="C180" s="33" t="s">
        <v>540</v>
      </c>
    </row>
    <row r="181" spans="1:3">
      <c r="A181" s="19" t="s">
        <v>535</v>
      </c>
      <c r="B181" t="s">
        <v>541</v>
      </c>
    </row>
    <row r="182" spans="1:3">
      <c r="A182" s="19" t="s">
        <v>535</v>
      </c>
      <c r="B182" t="s">
        <v>537</v>
      </c>
      <c r="C182" s="33" t="s">
        <v>538</v>
      </c>
    </row>
    <row r="183" spans="1:3">
      <c r="A183" s="19" t="s">
        <v>535</v>
      </c>
      <c r="B183" t="s">
        <v>537</v>
      </c>
      <c r="C183" t="s">
        <v>539</v>
      </c>
    </row>
    <row r="184" spans="1:3">
      <c r="A184" s="19" t="s">
        <v>535</v>
      </c>
      <c r="B184" t="s">
        <v>537</v>
      </c>
      <c r="C184" t="s">
        <v>542</v>
      </c>
    </row>
    <row r="185" spans="1:3">
      <c r="A185" s="19" t="s">
        <v>535</v>
      </c>
      <c r="B185" t="s">
        <v>543</v>
      </c>
      <c r="C185" t="s">
        <v>544</v>
      </c>
    </row>
    <row r="186" spans="1:3">
      <c r="A186" s="19" t="s">
        <v>545</v>
      </c>
      <c r="B186" t="s">
        <v>546</v>
      </c>
    </row>
    <row r="187" spans="1:3" ht="43.5">
      <c r="A187" s="19" t="s">
        <v>547</v>
      </c>
      <c r="B187" t="s">
        <v>546</v>
      </c>
      <c r="C187" s="33" t="s">
        <v>548</v>
      </c>
    </row>
    <row r="188" spans="1:3" ht="43.5">
      <c r="A188" s="19" t="s">
        <v>549</v>
      </c>
      <c r="B188" t="s">
        <v>546</v>
      </c>
      <c r="C188" s="33" t="s">
        <v>550</v>
      </c>
    </row>
    <row r="189" spans="1:3">
      <c r="A189" s="19" t="s">
        <v>549</v>
      </c>
      <c r="B189" t="s">
        <v>537</v>
      </c>
      <c r="C189" t="s">
        <v>551</v>
      </c>
    </row>
    <row r="190" spans="1:3">
      <c r="A190" s="19" t="s">
        <v>549</v>
      </c>
      <c r="B190" t="s">
        <v>541</v>
      </c>
      <c r="C190" t="s">
        <v>552</v>
      </c>
    </row>
    <row r="191" spans="1:3">
      <c r="A191" s="19" t="s">
        <v>553</v>
      </c>
      <c r="B191" t="s">
        <v>536</v>
      </c>
      <c r="C191" t="s">
        <v>554</v>
      </c>
    </row>
    <row r="192" spans="1:3">
      <c r="A192" s="19" t="s">
        <v>553</v>
      </c>
      <c r="B192" t="s">
        <v>543</v>
      </c>
      <c r="C192" t="s">
        <v>544</v>
      </c>
    </row>
    <row r="193" spans="1:3">
      <c r="A193" s="19" t="s">
        <v>555</v>
      </c>
      <c r="B193" t="s">
        <v>536</v>
      </c>
      <c r="C193" t="s">
        <v>556</v>
      </c>
    </row>
    <row r="194" spans="1:3">
      <c r="A194" s="19" t="s">
        <v>555</v>
      </c>
      <c r="B194" t="s">
        <v>557</v>
      </c>
    </row>
    <row r="195" spans="1:3">
      <c r="A195" s="19" t="s">
        <v>555</v>
      </c>
      <c r="B195" t="s">
        <v>557</v>
      </c>
      <c r="C195" t="s">
        <v>558</v>
      </c>
    </row>
    <row r="196" spans="1:3">
      <c r="A196" s="19" t="s">
        <v>555</v>
      </c>
      <c r="B196" t="s">
        <v>557</v>
      </c>
      <c r="C196" t="s">
        <v>559</v>
      </c>
    </row>
    <row r="197" spans="1:3">
      <c r="A197" s="19" t="s">
        <v>555</v>
      </c>
      <c r="B197" t="s">
        <v>557</v>
      </c>
      <c r="C197" t="s">
        <v>560</v>
      </c>
    </row>
    <row r="198" spans="1:3">
      <c r="A198" s="19" t="s">
        <v>555</v>
      </c>
      <c r="B198" t="s">
        <v>557</v>
      </c>
      <c r="C198" t="s">
        <v>561</v>
      </c>
    </row>
    <row r="199" spans="1:3">
      <c r="A199" s="19" t="s">
        <v>555</v>
      </c>
      <c r="B199" t="s">
        <v>557</v>
      </c>
      <c r="C199" t="s">
        <v>562</v>
      </c>
    </row>
    <row r="200" spans="1:3">
      <c r="A200" s="19" t="s">
        <v>555</v>
      </c>
      <c r="B200" t="s">
        <v>557</v>
      </c>
      <c r="C200" t="s">
        <v>563</v>
      </c>
    </row>
    <row r="201" spans="1:3">
      <c r="A201" s="19" t="s">
        <v>555</v>
      </c>
      <c r="B201" t="s">
        <v>537</v>
      </c>
      <c r="C201" t="s">
        <v>539</v>
      </c>
    </row>
    <row r="202" spans="1:3">
      <c r="A202" s="19" t="s">
        <v>555</v>
      </c>
      <c r="B202" t="s">
        <v>557</v>
      </c>
      <c r="C202" t="s">
        <v>564</v>
      </c>
    </row>
    <row r="203" spans="1:3">
      <c r="A203" s="19" t="s">
        <v>555</v>
      </c>
      <c r="B203" t="s">
        <v>557</v>
      </c>
      <c r="C203" t="s">
        <v>565</v>
      </c>
    </row>
    <row r="204" spans="1:3">
      <c r="A204" s="19" t="s">
        <v>555</v>
      </c>
      <c r="B204" t="s">
        <v>557</v>
      </c>
      <c r="C204" t="s">
        <v>566</v>
      </c>
    </row>
    <row r="205" spans="1:3" ht="87">
      <c r="A205" s="19" t="s">
        <v>555</v>
      </c>
      <c r="B205" t="s">
        <v>557</v>
      </c>
      <c r="C205" s="33" t="s">
        <v>567</v>
      </c>
    </row>
    <row r="206" spans="1:3">
      <c r="A206" s="19" t="s">
        <v>568</v>
      </c>
      <c r="B206" t="s">
        <v>536</v>
      </c>
      <c r="C206" t="s">
        <v>569</v>
      </c>
    </row>
    <row r="207" spans="1:3">
      <c r="A207" s="19" t="s">
        <v>568</v>
      </c>
      <c r="B207" t="s">
        <v>570</v>
      </c>
    </row>
    <row r="208" spans="1:3">
      <c r="A208" s="19" t="s">
        <v>568</v>
      </c>
      <c r="B208" t="s">
        <v>570</v>
      </c>
      <c r="C208" t="s">
        <v>571</v>
      </c>
    </row>
    <row r="209" spans="1:3">
      <c r="A209" s="19" t="s">
        <v>568</v>
      </c>
      <c r="B209" t="s">
        <v>570</v>
      </c>
      <c r="C209" s="33" t="s">
        <v>572</v>
      </c>
    </row>
    <row r="210" spans="1:3">
      <c r="A210" s="19" t="s">
        <v>568</v>
      </c>
      <c r="B210" t="s">
        <v>570</v>
      </c>
      <c r="C210" t="s">
        <v>573</v>
      </c>
    </row>
    <row r="211" spans="1:3">
      <c r="A211" s="19" t="s">
        <v>568</v>
      </c>
      <c r="B211" t="s">
        <v>570</v>
      </c>
      <c r="C211" t="s">
        <v>574</v>
      </c>
    </row>
    <row r="212" spans="1:3">
      <c r="A212" s="19" t="s">
        <v>568</v>
      </c>
      <c r="B212" t="s">
        <v>570</v>
      </c>
      <c r="C212" t="s">
        <v>575</v>
      </c>
    </row>
    <row r="213" spans="1:3">
      <c r="A213" s="19" t="s">
        <v>568</v>
      </c>
      <c r="B213" t="s">
        <v>570</v>
      </c>
      <c r="C213" t="s">
        <v>576</v>
      </c>
    </row>
    <row r="214" spans="1:3">
      <c r="A214" s="19" t="s">
        <v>568</v>
      </c>
      <c r="B214" t="s">
        <v>570</v>
      </c>
      <c r="C214" t="s">
        <v>577</v>
      </c>
    </row>
    <row r="215" spans="1:3">
      <c r="A215" s="19" t="s">
        <v>578</v>
      </c>
      <c r="B215" t="s">
        <v>536</v>
      </c>
      <c r="C215" t="s">
        <v>579</v>
      </c>
    </row>
    <row r="216" spans="1:3">
      <c r="A216" s="19" t="s">
        <v>578</v>
      </c>
      <c r="B216" t="s">
        <v>536</v>
      </c>
      <c r="C216" t="s">
        <v>580</v>
      </c>
    </row>
    <row r="217" spans="1:3">
      <c r="A217" s="19" t="s">
        <v>581</v>
      </c>
      <c r="B217" t="s">
        <v>536</v>
      </c>
      <c r="C217" t="s">
        <v>582</v>
      </c>
    </row>
    <row r="218" spans="1:3">
      <c r="A218" s="19" t="s">
        <v>581</v>
      </c>
      <c r="B218" t="s">
        <v>536</v>
      </c>
    </row>
    <row r="219" spans="1:3">
      <c r="A219" s="19" t="s">
        <v>583</v>
      </c>
      <c r="B219" t="s">
        <v>584</v>
      </c>
      <c r="C219" t="s">
        <v>585</v>
      </c>
    </row>
    <row r="220" spans="1:3">
      <c r="A220" s="19" t="s">
        <v>586</v>
      </c>
      <c r="B220" t="s">
        <v>536</v>
      </c>
    </row>
    <row r="221" spans="1:3">
      <c r="A221" s="19" t="s">
        <v>586</v>
      </c>
      <c r="B221" t="s">
        <v>537</v>
      </c>
      <c r="C221" t="s">
        <v>538</v>
      </c>
    </row>
    <row r="222" spans="1:3">
      <c r="A222" s="19" t="s">
        <v>586</v>
      </c>
      <c r="B222" t="s">
        <v>537</v>
      </c>
      <c r="C222" t="s">
        <v>539</v>
      </c>
    </row>
    <row r="223" spans="1:3">
      <c r="A223" s="19" t="s">
        <v>586</v>
      </c>
      <c r="B223" t="s">
        <v>536</v>
      </c>
      <c r="C223" s="33" t="s">
        <v>540</v>
      </c>
    </row>
    <row r="224" spans="1:3">
      <c r="A224" s="19" t="s">
        <v>586</v>
      </c>
      <c r="B224" t="s">
        <v>541</v>
      </c>
    </row>
    <row r="225" spans="1:3">
      <c r="A225" s="19" t="s">
        <v>586</v>
      </c>
      <c r="B225" t="s">
        <v>537</v>
      </c>
      <c r="C225" s="33" t="s">
        <v>538</v>
      </c>
    </row>
    <row r="226" spans="1:3">
      <c r="A226" s="19" t="s">
        <v>586</v>
      </c>
      <c r="B226" t="s">
        <v>537</v>
      </c>
      <c r="C226" t="s">
        <v>539</v>
      </c>
    </row>
    <row r="227" spans="1:3">
      <c r="A227" s="19" t="s">
        <v>586</v>
      </c>
      <c r="B227" t="s">
        <v>537</v>
      </c>
      <c r="C227" t="s">
        <v>542</v>
      </c>
    </row>
    <row r="228" spans="1:3">
      <c r="A228" s="19" t="s">
        <v>586</v>
      </c>
      <c r="B228" t="s">
        <v>543</v>
      </c>
      <c r="C228" t="s">
        <v>544</v>
      </c>
    </row>
    <row r="229" spans="1:3">
      <c r="A229" s="19" t="s">
        <v>587</v>
      </c>
      <c r="B229" t="s">
        <v>546</v>
      </c>
    </row>
    <row r="230" spans="1:3">
      <c r="A230" s="19" t="s">
        <v>587</v>
      </c>
      <c r="B230" t="s">
        <v>546</v>
      </c>
      <c r="C230" t="s">
        <v>588</v>
      </c>
    </row>
    <row r="231" spans="1:3">
      <c r="A231" s="19" t="s">
        <v>587</v>
      </c>
      <c r="B231" t="s">
        <v>546</v>
      </c>
      <c r="C231" s="33" t="s">
        <v>589</v>
      </c>
    </row>
    <row r="232" spans="1:3">
      <c r="A232" s="19" t="s">
        <v>587</v>
      </c>
      <c r="B232" t="s">
        <v>546</v>
      </c>
      <c r="C232" t="s">
        <v>590</v>
      </c>
    </row>
    <row r="233" spans="1:3">
      <c r="A233" s="19" t="s">
        <v>587</v>
      </c>
      <c r="B233" t="s">
        <v>546</v>
      </c>
      <c r="C233" s="33" t="s">
        <v>591</v>
      </c>
    </row>
    <row r="234" spans="1:3">
      <c r="A234" s="19" t="s">
        <v>587</v>
      </c>
      <c r="B234" t="s">
        <v>546</v>
      </c>
      <c r="C234" t="s">
        <v>592</v>
      </c>
    </row>
    <row r="235" spans="1:3">
      <c r="A235" s="19" t="s">
        <v>587</v>
      </c>
      <c r="B235" t="s">
        <v>537</v>
      </c>
      <c r="C235" s="33" t="s">
        <v>594</v>
      </c>
    </row>
    <row r="236" spans="1:3">
      <c r="A236" s="19" t="s">
        <v>587</v>
      </c>
      <c r="B236" t="s">
        <v>541</v>
      </c>
      <c r="C236" t="s">
        <v>552</v>
      </c>
    </row>
    <row r="237" spans="1:3">
      <c r="A237" s="19" t="s">
        <v>595</v>
      </c>
      <c r="B237" t="s">
        <v>536</v>
      </c>
      <c r="C237" s="33" t="s">
        <v>554</v>
      </c>
    </row>
    <row r="238" spans="1:3">
      <c r="A238" s="19" t="s">
        <v>595</v>
      </c>
      <c r="B238" t="s">
        <v>543</v>
      </c>
      <c r="C238" t="s">
        <v>544</v>
      </c>
    </row>
    <row r="239" spans="1:3">
      <c r="A239" s="19" t="s">
        <v>596</v>
      </c>
      <c r="B239" t="s">
        <v>536</v>
      </c>
      <c r="C239" s="33" t="s">
        <v>556</v>
      </c>
    </row>
    <row r="240" spans="1:3">
      <c r="A240" s="19" t="s">
        <v>596</v>
      </c>
      <c r="B240" t="s">
        <v>557</v>
      </c>
    </row>
    <row r="241" spans="1:3">
      <c r="A241" s="19" t="s">
        <v>596</v>
      </c>
      <c r="B241" t="s">
        <v>557</v>
      </c>
      <c r="C241" s="33" t="s">
        <v>558</v>
      </c>
    </row>
    <row r="242" spans="1:3">
      <c r="A242" s="19" t="s">
        <v>596</v>
      </c>
      <c r="B242" t="s">
        <v>557</v>
      </c>
      <c r="C242" t="s">
        <v>559</v>
      </c>
    </row>
    <row r="243" spans="1:3">
      <c r="A243" s="19" t="s">
        <v>596</v>
      </c>
      <c r="B243" t="s">
        <v>557</v>
      </c>
      <c r="C243" s="33" t="s">
        <v>560</v>
      </c>
    </row>
    <row r="244" spans="1:3">
      <c r="A244" s="19" t="s">
        <v>596</v>
      </c>
      <c r="B244" t="s">
        <v>557</v>
      </c>
      <c r="C244" t="s">
        <v>561</v>
      </c>
    </row>
    <row r="245" spans="1:3">
      <c r="A245" s="19" t="s">
        <v>596</v>
      </c>
      <c r="B245" t="s">
        <v>557</v>
      </c>
      <c r="C245" s="33" t="s">
        <v>562</v>
      </c>
    </row>
    <row r="246" spans="1:3">
      <c r="A246" s="19" t="s">
        <v>596</v>
      </c>
      <c r="B246" t="s">
        <v>557</v>
      </c>
      <c r="C246" t="s">
        <v>563</v>
      </c>
    </row>
    <row r="247" spans="1:3">
      <c r="A247" s="19" t="s">
        <v>596</v>
      </c>
      <c r="B247" t="s">
        <v>537</v>
      </c>
      <c r="C247" s="33" t="s">
        <v>539</v>
      </c>
    </row>
    <row r="248" spans="1:3">
      <c r="A248" s="19" t="s">
        <v>596</v>
      </c>
      <c r="B248" t="s">
        <v>557</v>
      </c>
      <c r="C248" t="s">
        <v>564</v>
      </c>
    </row>
    <row r="249" spans="1:3">
      <c r="A249" s="19" t="s">
        <v>596</v>
      </c>
      <c r="B249" t="s">
        <v>557</v>
      </c>
      <c r="C249" s="33" t="s">
        <v>565</v>
      </c>
    </row>
    <row r="250" spans="1:3">
      <c r="A250" s="19" t="s">
        <v>596</v>
      </c>
      <c r="B250" t="s">
        <v>557</v>
      </c>
      <c r="C250" t="s">
        <v>566</v>
      </c>
    </row>
    <row r="251" spans="1:3" ht="87">
      <c r="A251" s="19" t="s">
        <v>596</v>
      </c>
      <c r="B251" t="s">
        <v>557</v>
      </c>
      <c r="C251" s="33" t="s">
        <v>567</v>
      </c>
    </row>
    <row r="252" spans="1:3">
      <c r="A252" s="19" t="s">
        <v>597</v>
      </c>
      <c r="B252" t="s">
        <v>536</v>
      </c>
      <c r="C252" t="s">
        <v>569</v>
      </c>
    </row>
    <row r="253" spans="1:3">
      <c r="A253" s="19" t="s">
        <v>597</v>
      </c>
      <c r="B253" t="s">
        <v>570</v>
      </c>
      <c r="C253" s="33"/>
    </row>
    <row r="254" spans="1:3">
      <c r="A254" s="19" t="s">
        <v>597</v>
      </c>
      <c r="B254" t="s">
        <v>570</v>
      </c>
      <c r="C254" t="s">
        <v>598</v>
      </c>
    </row>
    <row r="255" spans="1:3">
      <c r="A255" s="19" t="s">
        <v>597</v>
      </c>
      <c r="B255" t="s">
        <v>570</v>
      </c>
      <c r="C255" s="33" t="s">
        <v>599</v>
      </c>
    </row>
    <row r="256" spans="1:3">
      <c r="A256" s="19" t="s">
        <v>597</v>
      </c>
      <c r="B256" t="s">
        <v>570</v>
      </c>
      <c r="C256" t="s">
        <v>600</v>
      </c>
    </row>
    <row r="257" spans="1:3">
      <c r="A257" s="19" t="s">
        <v>597</v>
      </c>
      <c r="B257" t="s">
        <v>570</v>
      </c>
      <c r="C257" s="33" t="s">
        <v>574</v>
      </c>
    </row>
    <row r="258" spans="1:3">
      <c r="A258" s="19" t="s">
        <v>597</v>
      </c>
      <c r="B258" t="s">
        <v>570</v>
      </c>
      <c r="C258" t="s">
        <v>601</v>
      </c>
    </row>
    <row r="259" spans="1:3">
      <c r="A259" s="19" t="s">
        <v>597</v>
      </c>
      <c r="B259" t="s">
        <v>570</v>
      </c>
      <c r="C259" s="33" t="s">
        <v>602</v>
      </c>
    </row>
    <row r="260" spans="1:3">
      <c r="A260" s="19" t="s">
        <v>597</v>
      </c>
      <c r="B260" t="s">
        <v>570</v>
      </c>
      <c r="C260" t="s">
        <v>603</v>
      </c>
    </row>
    <row r="261" spans="1:3">
      <c r="A261" s="19" t="s">
        <v>604</v>
      </c>
      <c r="B261" t="s">
        <v>536</v>
      </c>
      <c r="C261" s="33" t="s">
        <v>579</v>
      </c>
    </row>
    <row r="262" spans="1:3">
      <c r="A262" s="19" t="s">
        <v>605</v>
      </c>
      <c r="B262" t="s">
        <v>536</v>
      </c>
      <c r="C262" t="s">
        <v>580</v>
      </c>
    </row>
    <row r="263" spans="1:3">
      <c r="C263" s="33"/>
    </row>
    <row r="265" spans="1:3">
      <c r="C265" s="33"/>
    </row>
    <row r="275" spans="3:3">
      <c r="C275" s="33"/>
    </row>
    <row r="277" spans="3:3">
      <c r="C277" s="33"/>
    </row>
    <row r="279" spans="3:3">
      <c r="C279" s="33"/>
    </row>
    <row r="281" spans="3:3">
      <c r="C281" s="33"/>
    </row>
    <row r="283" spans="3:3">
      <c r="C283" s="33"/>
    </row>
    <row r="284" spans="3:3">
      <c r="C284" s="33"/>
    </row>
    <row r="285" spans="3:3">
      <c r="C285" s="33"/>
    </row>
    <row r="286" spans="3:3">
      <c r="C286" s="33"/>
    </row>
    <row r="287" spans="3:3">
      <c r="C287" s="33"/>
    </row>
    <row r="288" spans="3:3">
      <c r="C288" s="33"/>
    </row>
    <row r="289" spans="3:3">
      <c r="C289" s="33"/>
    </row>
    <row r="290" spans="3:3">
      <c r="C290" s="33"/>
    </row>
    <row r="291" spans="3:3">
      <c r="C291" s="33"/>
    </row>
    <row r="293" spans="3:3">
      <c r="C293" s="33"/>
    </row>
    <row r="295" spans="3:3">
      <c r="C295" s="33"/>
    </row>
    <row r="297" spans="3:3">
      <c r="C297" s="33"/>
    </row>
    <row r="299" spans="3:3">
      <c r="C299" s="33"/>
    </row>
    <row r="301" spans="3:3">
      <c r="C301" s="33"/>
    </row>
    <row r="307" spans="3:3">
      <c r="C307" s="33"/>
    </row>
    <row r="308" spans="3:3">
      <c r="C308" s="33"/>
    </row>
    <row r="318" spans="3:3">
      <c r="C318" s="33"/>
    </row>
    <row r="320" spans="3:3">
      <c r="C320" s="33"/>
    </row>
    <row r="322" spans="3:3">
      <c r="C322" s="33"/>
    </row>
    <row r="324" spans="3:3">
      <c r="C324" s="33"/>
    </row>
    <row r="328" spans="3:3">
      <c r="C328" s="33"/>
    </row>
    <row r="333" spans="3:3">
      <c r="C333" s="33"/>
    </row>
    <row r="337" spans="3:3">
      <c r="C337" s="33"/>
    </row>
    <row r="342" spans="3:3">
      <c r="C342" s="33"/>
    </row>
    <row r="345" spans="3:3">
      <c r="C345" s="33"/>
    </row>
    <row r="346" spans="3:3">
      <c r="C346" s="33"/>
    </row>
    <row r="364" spans="3:3">
      <c r="C364" s="33"/>
    </row>
    <row r="366" spans="3:3">
      <c r="C366" s="33"/>
    </row>
    <row r="368" spans="3:3">
      <c r="C368" s="33"/>
    </row>
    <row r="370" spans="3:3">
      <c r="C370" s="33"/>
    </row>
    <row r="379" spans="3:3">
      <c r="C379" s="33"/>
    </row>
    <row r="383" spans="3:3">
      <c r="C383" s="33"/>
    </row>
    <row r="385" spans="3:3">
      <c r="C385" s="33"/>
    </row>
    <row r="398" spans="3:3">
      <c r="C398" s="33"/>
    </row>
    <row r="400" spans="3:3">
      <c r="C400" s="33"/>
    </row>
    <row r="401" spans="3:3">
      <c r="C401" s="33"/>
    </row>
    <row r="402" spans="3:3">
      <c r="C402" s="33"/>
    </row>
    <row r="404" spans="3:3">
      <c r="C404" s="33"/>
    </row>
    <row r="413" spans="3:3">
      <c r="C413" s="33"/>
    </row>
    <row r="432" spans="3:3">
      <c r="C432" s="33"/>
    </row>
    <row r="434" spans="3:3">
      <c r="C434" s="33"/>
    </row>
    <row r="436" spans="3:3">
      <c r="C436" s="33"/>
    </row>
    <row r="438" spans="3:3">
      <c r="C438" s="33"/>
    </row>
    <row r="447" spans="3:3">
      <c r="C447" s="33"/>
    </row>
    <row r="466" spans="3:3">
      <c r="C466" s="33"/>
    </row>
    <row r="468" spans="3:3">
      <c r="C468" s="33"/>
    </row>
    <row r="470" spans="3:3">
      <c r="C470" s="33"/>
    </row>
    <row r="472" spans="3:3">
      <c r="C472" s="33"/>
    </row>
    <row r="481" spans="3:3">
      <c r="C481" s="33"/>
    </row>
    <row r="500" spans="3:3">
      <c r="C500" s="33"/>
    </row>
    <row r="502" spans="3:3">
      <c r="C502" s="33"/>
    </row>
    <row r="504" spans="3:3">
      <c r="C504" s="33"/>
    </row>
    <row r="506" spans="3:3">
      <c r="C506" s="33"/>
    </row>
    <row r="515" spans="3:3">
      <c r="C515" s="33"/>
    </row>
    <row r="525" spans="3:3">
      <c r="C525" s="33"/>
    </row>
    <row r="527" spans="3:3">
      <c r="C527" s="33"/>
    </row>
    <row r="529" spans="3:3">
      <c r="C529" s="33"/>
    </row>
    <row r="531" spans="3:3">
      <c r="C531" s="33"/>
    </row>
    <row r="541" spans="3:3">
      <c r="C541" s="33"/>
    </row>
    <row r="549" spans="3:3">
      <c r="C549" s="33"/>
    </row>
    <row r="557" spans="3:3">
      <c r="C557" s="33"/>
    </row>
    <row r="609" spans="3:3">
      <c r="C609" s="33"/>
    </row>
    <row r="618" spans="3:3">
      <c r="C618" s="33"/>
    </row>
    <row r="619" spans="3:3">
      <c r="C619" s="33"/>
    </row>
    <row r="634" spans="3:3">
      <c r="C634" s="33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78E3C-37C9-4914-B87E-7828B47A5F8A}">
  <sheetPr codeName="Sheet12"/>
  <dimension ref="A1:K15"/>
  <sheetViews>
    <sheetView workbookViewId="0">
      <selection activeCell="W37" sqref="W37"/>
    </sheetView>
  </sheetViews>
  <sheetFormatPr defaultRowHeight="14.5"/>
  <sheetData>
    <row r="1" spans="1:11">
      <c r="A1" t="s">
        <v>323</v>
      </c>
    </row>
    <row r="3" spans="1:11">
      <c r="D3" t="str">
        <f>"http://"&amp;$A$1&amp;"/soak/info"</f>
        <v>http://192.168.1.97/soak/info</v>
      </c>
      <c r="K3" t="s">
        <v>324</v>
      </c>
    </row>
    <row r="4" spans="1:11">
      <c r="A4" t="b">
        <f>"http://"&amp;$A$1&amp;"/soak/info" ="http://"&amp;$A$1&amp;"/soak/tail?n=5" ="http://"&amp;$A$1&amp;"/soak/start?ms=2000" ="http://"&amp;$A$1&amp;"/soak/tail?n=15" ="http://"&amp;$A$1&amp;"/soak/info" ="http://"&amp;$A$1&amp;"/soak/stop" ="http://"&amp;$A$1&amp;"/soak/summary" ="http://"&amp;$A$1&amp;"/soak/dump?off=0&amp;len=4096"</f>
        <v>0</v>
      </c>
      <c r="D4" t="str">
        <f>"http://"&amp;$A$1&amp;"/soak/tail?n=5"</f>
        <v>http://192.168.1.97/soak/tail?n=5</v>
      </c>
      <c r="K4" t="s">
        <v>325</v>
      </c>
    </row>
    <row r="5" spans="1:11">
      <c r="D5" t="str">
        <f>"http://"&amp;$A$1&amp;"/soak/start?ms=2000"</f>
        <v>http://192.168.1.97/soak/start?ms=2000</v>
      </c>
      <c r="K5" t="s">
        <v>326</v>
      </c>
    </row>
    <row r="6" spans="1:11">
      <c r="A6" t="b">
        <f>"http://"&amp;$A$1&amp;"/soak/info" ="http://"&amp;$A$1&amp;"/soak/tail?n=5" ="http://"&amp;$A$1&amp;"/soak/start?ms=2000" ="http://"&amp;$A$1&amp;"/soak/tail?n=15" ="http://"&amp;$A$1&amp;"/soak/info" ="http://"&amp;$A$1&amp;"/soak/stop" ="http://"&amp;$A$1&amp;"/soak/summary" ="http://"&amp;$A$1&amp;"/soak/dump?off=0&amp;len=4096"</f>
        <v>0</v>
      </c>
      <c r="D6" t="str">
        <f>"http://"&amp;$A$1&amp;"/soak/tail?n=15"</f>
        <v>http://192.168.1.97/soak/tail?n=15</v>
      </c>
    </row>
    <row r="7" spans="1:11">
      <c r="D7" t="str">
        <f>"http://"&amp;$A$1&amp;"/soak/info"</f>
        <v>http://192.168.1.97/soak/info</v>
      </c>
      <c r="K7" s="53" t="s">
        <v>327</v>
      </c>
    </row>
    <row r="8" spans="1:11">
      <c r="D8" t="str">
        <f>"http://"&amp;$A$1&amp;"/soak/stop"</f>
        <v>http://192.168.1.97/soak/stop</v>
      </c>
      <c r="K8" s="53" t="s">
        <v>328</v>
      </c>
    </row>
    <row r="9" spans="1:11">
      <c r="D9" t="str">
        <f>"http://"&amp;$A$1&amp;"/soak/summary"</f>
        <v>http://192.168.1.97/soak/summary</v>
      </c>
      <c r="K9" s="53" t="s">
        <v>329</v>
      </c>
    </row>
    <row r="10" spans="1:11">
      <c r="D10" t="str">
        <f>"http://"&amp;$A$1&amp;"/soak/dump?off=0&amp;len=4096"</f>
        <v>http://192.168.1.97/soak/dump?off=0&amp;len=4096</v>
      </c>
      <c r="K10" s="53" t="s">
        <v>330</v>
      </c>
    </row>
    <row r="11" spans="1:11">
      <c r="K11" s="53" t="s">
        <v>331</v>
      </c>
    </row>
    <row r="12" spans="1:11">
      <c r="K12" s="53" t="s">
        <v>332</v>
      </c>
    </row>
    <row r="13" spans="1:11">
      <c r="K13" s="53" t="s">
        <v>333</v>
      </c>
    </row>
    <row r="14" spans="1:11">
      <c r="K14" s="53" t="s">
        <v>334</v>
      </c>
    </row>
    <row r="15" spans="1:11">
      <c r="K15" s="53" t="s">
        <v>335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I98"/>
  <sheetViews>
    <sheetView showGridLines="0" topLeftCell="A13" workbookViewId="0">
      <selection activeCell="L20" sqref="L20"/>
    </sheetView>
  </sheetViews>
  <sheetFormatPr defaultRowHeight="14.5"/>
  <cols>
    <col min="1" max="1" width="5.36328125" style="10" bestFit="1" customWidth="1"/>
    <col min="2" max="2" width="8" bestFit="1" customWidth="1"/>
    <col min="3" max="3" width="8.26953125" bestFit="1" customWidth="1"/>
    <col min="4" max="4" width="8.7265625" bestFit="1" customWidth="1"/>
    <col min="5" max="5" width="9" bestFit="1" customWidth="1"/>
    <col min="6" max="6" width="15.6328125" bestFit="1" customWidth="1"/>
    <col min="7" max="7" width="10.6328125" bestFit="1" customWidth="1"/>
    <col min="8" max="8" width="10.90625" bestFit="1" customWidth="1"/>
    <col min="9" max="9" width="18.36328125" bestFit="1" customWidth="1"/>
  </cols>
  <sheetData>
    <row r="1" spans="1:9">
      <c r="A1" s="10" t="s">
        <v>278</v>
      </c>
      <c r="B1" t="s">
        <v>337</v>
      </c>
      <c r="C1" t="s">
        <v>338</v>
      </c>
      <c r="D1" t="s">
        <v>339</v>
      </c>
      <c r="E1" t="s">
        <v>340</v>
      </c>
      <c r="F1" t="s">
        <v>80</v>
      </c>
      <c r="G1" t="s">
        <v>464</v>
      </c>
      <c r="H1" t="s">
        <v>465</v>
      </c>
      <c r="I1" t="s">
        <v>466</v>
      </c>
    </row>
    <row r="2" spans="1:9">
      <c r="A2" s="10">
        <v>0.66666666666666663</v>
      </c>
      <c r="B2">
        <v>139.9</v>
      </c>
      <c r="C2">
        <v>-12.2</v>
      </c>
      <c r="D2">
        <v>308.89999999999998</v>
      </c>
      <c r="E2">
        <v>11.1</v>
      </c>
      <c r="F2" t="s">
        <v>83</v>
      </c>
      <c r="G2">
        <v>225.6</v>
      </c>
      <c r="H2">
        <v>-39.4</v>
      </c>
      <c r="I2" t="s">
        <v>83</v>
      </c>
    </row>
    <row r="3" spans="1:9">
      <c r="A3" s="10">
        <v>0.67708333333333337</v>
      </c>
      <c r="B3">
        <v>137.30000000000001</v>
      </c>
      <c r="C3">
        <v>-10.199999999999999</v>
      </c>
      <c r="D3">
        <v>306.39999999999998</v>
      </c>
      <c r="E3">
        <v>8.6999999999999993</v>
      </c>
      <c r="F3" t="s">
        <v>83</v>
      </c>
      <c r="G3">
        <v>221.7</v>
      </c>
      <c r="H3">
        <v>-41.4</v>
      </c>
      <c r="I3" t="s">
        <v>83</v>
      </c>
    </row>
    <row r="4" spans="1:9">
      <c r="A4" s="10">
        <v>0.6875</v>
      </c>
      <c r="B4">
        <v>134.80000000000001</v>
      </c>
      <c r="C4">
        <v>-8</v>
      </c>
      <c r="D4">
        <v>304</v>
      </c>
      <c r="E4">
        <v>6.2</v>
      </c>
      <c r="F4" t="s">
        <v>83</v>
      </c>
      <c r="G4">
        <v>217.6</v>
      </c>
      <c r="H4">
        <v>-43.4</v>
      </c>
      <c r="I4" t="s">
        <v>83</v>
      </c>
    </row>
    <row r="5" spans="1:9">
      <c r="A5" s="10">
        <v>0.69791666666666663</v>
      </c>
      <c r="B5">
        <v>132.30000000000001</v>
      </c>
      <c r="C5">
        <v>-5.8</v>
      </c>
      <c r="D5">
        <v>301.60000000000002</v>
      </c>
      <c r="E5">
        <v>3.6</v>
      </c>
      <c r="F5" t="s">
        <v>83</v>
      </c>
      <c r="G5">
        <v>213.2</v>
      </c>
      <c r="H5">
        <v>-45.1</v>
      </c>
      <c r="I5" t="s">
        <v>83</v>
      </c>
    </row>
    <row r="6" spans="1:9">
      <c r="A6" s="10">
        <v>0.70833333333333337</v>
      </c>
      <c r="B6">
        <v>129.9</v>
      </c>
      <c r="C6">
        <v>-3.5</v>
      </c>
      <c r="D6">
        <v>299.39999999999998</v>
      </c>
      <c r="E6">
        <v>1</v>
      </c>
      <c r="F6" t="s">
        <v>83</v>
      </c>
      <c r="G6">
        <v>208.6</v>
      </c>
      <c r="H6">
        <v>-46.7</v>
      </c>
      <c r="I6" t="s">
        <v>83</v>
      </c>
    </row>
    <row r="7" spans="1:9">
      <c r="A7" s="10">
        <v>0.71875</v>
      </c>
      <c r="B7">
        <v>127.7</v>
      </c>
      <c r="C7">
        <v>-1.2</v>
      </c>
      <c r="D7">
        <v>297.2</v>
      </c>
      <c r="E7">
        <v>-1.7</v>
      </c>
      <c r="F7" t="s">
        <v>83</v>
      </c>
      <c r="G7">
        <v>203.7</v>
      </c>
      <c r="H7">
        <v>-48</v>
      </c>
      <c r="I7" t="s">
        <v>83</v>
      </c>
    </row>
    <row r="8" spans="1:9">
      <c r="A8" s="10">
        <v>0.72916666666666663</v>
      </c>
      <c r="B8">
        <v>125.5</v>
      </c>
      <c r="C8">
        <v>1.3</v>
      </c>
      <c r="D8">
        <v>295.10000000000002</v>
      </c>
      <c r="E8">
        <v>-4.4000000000000004</v>
      </c>
      <c r="F8" t="s">
        <v>84</v>
      </c>
      <c r="G8">
        <v>198.5</v>
      </c>
      <c r="H8">
        <v>-49.1</v>
      </c>
      <c r="I8" t="s">
        <v>83</v>
      </c>
    </row>
    <row r="9" spans="1:9">
      <c r="A9" s="10">
        <v>0.73958333333333337</v>
      </c>
      <c r="B9">
        <v>123.4</v>
      </c>
      <c r="C9">
        <v>3.8</v>
      </c>
      <c r="D9">
        <v>293</v>
      </c>
      <c r="E9">
        <v>-7.2</v>
      </c>
      <c r="F9" t="s">
        <v>84</v>
      </c>
      <c r="G9">
        <v>193.2</v>
      </c>
      <c r="H9">
        <v>-50</v>
      </c>
      <c r="I9" t="s">
        <v>83</v>
      </c>
    </row>
    <row r="10" spans="1:9">
      <c r="A10" s="10">
        <v>0.75</v>
      </c>
      <c r="B10">
        <v>121.3</v>
      </c>
      <c r="C10">
        <v>6.4</v>
      </c>
      <c r="D10">
        <v>291</v>
      </c>
      <c r="E10">
        <v>-10</v>
      </c>
      <c r="F10" t="s">
        <v>84</v>
      </c>
      <c r="G10">
        <v>187.6</v>
      </c>
      <c r="H10">
        <v>-50.6</v>
      </c>
      <c r="I10" t="s">
        <v>83</v>
      </c>
    </row>
    <row r="11" spans="1:9">
      <c r="A11" s="10">
        <v>0.76041666666666663</v>
      </c>
      <c r="B11">
        <v>119.3</v>
      </c>
      <c r="C11">
        <v>9</v>
      </c>
      <c r="D11">
        <v>289</v>
      </c>
      <c r="E11">
        <v>-12.9</v>
      </c>
      <c r="F11" t="s">
        <v>84</v>
      </c>
      <c r="G11">
        <v>182</v>
      </c>
      <c r="H11">
        <v>-50.9</v>
      </c>
      <c r="I11" t="s">
        <v>83</v>
      </c>
    </row>
    <row r="12" spans="1:9">
      <c r="A12" s="10">
        <v>0.77083333333333337</v>
      </c>
      <c r="B12">
        <v>117.4</v>
      </c>
      <c r="C12">
        <v>11.7</v>
      </c>
      <c r="D12">
        <v>287.10000000000002</v>
      </c>
      <c r="E12">
        <v>-15.8</v>
      </c>
      <c r="F12" t="s">
        <v>84</v>
      </c>
      <c r="G12">
        <v>176.3</v>
      </c>
      <c r="H12">
        <v>-50.9</v>
      </c>
      <c r="I12" t="s">
        <v>83</v>
      </c>
    </row>
    <row r="13" spans="1:9">
      <c r="A13" s="10">
        <v>0.78125</v>
      </c>
      <c r="B13">
        <v>115.5</v>
      </c>
      <c r="C13">
        <v>14.5</v>
      </c>
      <c r="D13">
        <v>285.2</v>
      </c>
      <c r="E13">
        <v>-18.7</v>
      </c>
      <c r="F13" t="s">
        <v>84</v>
      </c>
      <c r="G13">
        <v>170.6</v>
      </c>
      <c r="H13">
        <v>-50.6</v>
      </c>
      <c r="I13" t="s">
        <v>83</v>
      </c>
    </row>
    <row r="14" spans="1:9">
      <c r="A14" s="10">
        <v>0.79166666666666663</v>
      </c>
      <c r="B14">
        <v>113.7</v>
      </c>
      <c r="C14">
        <v>17.2</v>
      </c>
      <c r="D14">
        <v>283.3</v>
      </c>
      <c r="E14">
        <v>-21.7</v>
      </c>
      <c r="F14" t="s">
        <v>84</v>
      </c>
      <c r="G14">
        <v>165.1</v>
      </c>
      <c r="H14">
        <v>-50.1</v>
      </c>
      <c r="I14" t="s">
        <v>83</v>
      </c>
    </row>
    <row r="15" spans="1:9">
      <c r="A15" s="10">
        <v>0.80208333333333337</v>
      </c>
      <c r="B15">
        <v>111.9</v>
      </c>
      <c r="C15">
        <v>20.100000000000001</v>
      </c>
      <c r="D15">
        <v>281.39999999999998</v>
      </c>
      <c r="E15">
        <v>-24.6</v>
      </c>
      <c r="F15" t="s">
        <v>84</v>
      </c>
      <c r="G15">
        <v>159.69999999999999</v>
      </c>
      <c r="H15">
        <v>-49.3</v>
      </c>
      <c r="I15" t="s">
        <v>83</v>
      </c>
    </row>
    <row r="16" spans="1:9">
      <c r="A16" s="10">
        <v>0.8125</v>
      </c>
      <c r="B16">
        <v>110.2</v>
      </c>
      <c r="C16">
        <v>22.9</v>
      </c>
      <c r="D16">
        <v>279.5</v>
      </c>
      <c r="E16">
        <v>-27.6</v>
      </c>
      <c r="F16" t="s">
        <v>84</v>
      </c>
      <c r="G16">
        <v>154.5</v>
      </c>
      <c r="H16">
        <v>-48.2</v>
      </c>
      <c r="I16" t="s">
        <v>83</v>
      </c>
    </row>
    <row r="17" spans="1:9">
      <c r="A17" s="10">
        <v>0.82291666666666663</v>
      </c>
      <c r="B17">
        <v>108.4</v>
      </c>
      <c r="C17">
        <v>25.8</v>
      </c>
      <c r="D17">
        <v>277.5</v>
      </c>
      <c r="E17">
        <v>-30.6</v>
      </c>
      <c r="F17" t="s">
        <v>84</v>
      </c>
      <c r="G17">
        <v>149.6</v>
      </c>
      <c r="H17">
        <v>-46.9</v>
      </c>
      <c r="I17" t="s">
        <v>83</v>
      </c>
    </row>
    <row r="18" spans="1:9">
      <c r="A18" s="10">
        <v>0.83333333333333337</v>
      </c>
      <c r="B18">
        <v>106.7</v>
      </c>
      <c r="C18">
        <v>28.7</v>
      </c>
      <c r="D18">
        <v>275.60000000000002</v>
      </c>
      <c r="E18">
        <v>-33.700000000000003</v>
      </c>
      <c r="F18" t="s">
        <v>84</v>
      </c>
      <c r="G18">
        <v>144.9</v>
      </c>
      <c r="H18">
        <v>-45.3</v>
      </c>
      <c r="I18" t="s">
        <v>83</v>
      </c>
    </row>
    <row r="19" spans="1:9">
      <c r="A19" s="10">
        <v>0.84375</v>
      </c>
      <c r="B19">
        <v>105</v>
      </c>
      <c r="C19">
        <v>31.6</v>
      </c>
      <c r="D19">
        <v>273.5</v>
      </c>
      <c r="E19">
        <v>-36.700000000000003</v>
      </c>
      <c r="F19" t="s">
        <v>84</v>
      </c>
      <c r="G19">
        <v>140.5</v>
      </c>
      <c r="H19">
        <v>-43.6</v>
      </c>
      <c r="I19" t="s">
        <v>83</v>
      </c>
    </row>
    <row r="20" spans="1:9">
      <c r="A20" s="10">
        <v>0.85416666666666663</v>
      </c>
      <c r="B20">
        <v>103.3</v>
      </c>
      <c r="C20">
        <v>34.6</v>
      </c>
      <c r="D20">
        <v>271.5</v>
      </c>
      <c r="E20">
        <v>-39.799999999999997</v>
      </c>
      <c r="F20" t="s">
        <v>84</v>
      </c>
      <c r="G20">
        <v>136.30000000000001</v>
      </c>
      <c r="H20">
        <v>-41.7</v>
      </c>
      <c r="I20" t="s">
        <v>83</v>
      </c>
    </row>
    <row r="21" spans="1:9">
      <c r="A21" s="10">
        <v>0.86458333333333337</v>
      </c>
      <c r="B21">
        <v>101.6</v>
      </c>
      <c r="C21">
        <v>37.6</v>
      </c>
      <c r="D21">
        <v>269.3</v>
      </c>
      <c r="E21">
        <v>-42.8</v>
      </c>
      <c r="F21" t="s">
        <v>84</v>
      </c>
      <c r="G21">
        <v>132.4</v>
      </c>
      <c r="H21">
        <v>-39.700000000000003</v>
      </c>
      <c r="I21" t="s">
        <v>83</v>
      </c>
    </row>
    <row r="22" spans="1:9">
      <c r="A22" s="10">
        <v>0.875</v>
      </c>
      <c r="B22">
        <v>99.9</v>
      </c>
      <c r="C22">
        <v>40.6</v>
      </c>
      <c r="D22">
        <v>267</v>
      </c>
      <c r="E22">
        <v>-45.8</v>
      </c>
      <c r="F22" t="s">
        <v>84</v>
      </c>
      <c r="G22">
        <v>128.69999999999999</v>
      </c>
      <c r="H22">
        <v>-37.5</v>
      </c>
      <c r="I22" t="s">
        <v>83</v>
      </c>
    </row>
    <row r="23" spans="1:9">
      <c r="A23" s="10">
        <v>0.88541666666666663</v>
      </c>
      <c r="B23">
        <v>98.1</v>
      </c>
      <c r="C23">
        <v>43.6</v>
      </c>
      <c r="D23">
        <v>264.60000000000002</v>
      </c>
      <c r="E23">
        <v>-48.9</v>
      </c>
      <c r="F23" t="s">
        <v>84</v>
      </c>
      <c r="G23">
        <v>125.3</v>
      </c>
      <c r="H23">
        <v>-35.200000000000003</v>
      </c>
      <c r="I23" t="s">
        <v>83</v>
      </c>
    </row>
    <row r="24" spans="1:9">
      <c r="A24" s="10">
        <v>0.89583333333333337</v>
      </c>
      <c r="B24">
        <v>96.3</v>
      </c>
      <c r="C24">
        <v>46.6</v>
      </c>
      <c r="D24">
        <v>262</v>
      </c>
      <c r="E24">
        <v>-51.9</v>
      </c>
      <c r="F24" t="s">
        <v>84</v>
      </c>
      <c r="G24">
        <v>122</v>
      </c>
      <c r="H24">
        <v>-32.799999999999997</v>
      </c>
      <c r="I24" t="s">
        <v>83</v>
      </c>
    </row>
    <row r="25" spans="1:9">
      <c r="A25" s="10">
        <v>0.90625</v>
      </c>
      <c r="B25">
        <v>94.4</v>
      </c>
      <c r="C25">
        <v>49.7</v>
      </c>
      <c r="D25">
        <v>259.10000000000002</v>
      </c>
      <c r="E25">
        <v>-54.9</v>
      </c>
      <c r="F25" t="s">
        <v>84</v>
      </c>
      <c r="G25">
        <v>119</v>
      </c>
      <c r="H25">
        <v>-30.3</v>
      </c>
      <c r="I25" t="s">
        <v>83</v>
      </c>
    </row>
    <row r="26" spans="1:9">
      <c r="A26" s="10">
        <v>0.91666666666666663</v>
      </c>
      <c r="B26">
        <v>92.5</v>
      </c>
      <c r="C26">
        <v>52.7</v>
      </c>
      <c r="D26">
        <v>255.9</v>
      </c>
      <c r="E26">
        <v>-57.9</v>
      </c>
      <c r="F26" t="s">
        <v>84</v>
      </c>
      <c r="G26">
        <v>116.1</v>
      </c>
      <c r="H26">
        <v>-27.8</v>
      </c>
      <c r="I26" t="s">
        <v>83</v>
      </c>
    </row>
    <row r="27" spans="1:9">
      <c r="A27" s="10">
        <v>0.92708333333333337</v>
      </c>
      <c r="B27">
        <v>90.4</v>
      </c>
      <c r="C27">
        <v>55.8</v>
      </c>
      <c r="D27">
        <v>252.3</v>
      </c>
      <c r="E27">
        <v>-60.8</v>
      </c>
      <c r="F27" t="s">
        <v>84</v>
      </c>
      <c r="G27">
        <v>113.3</v>
      </c>
      <c r="H27">
        <v>-25.2</v>
      </c>
      <c r="I27" t="s">
        <v>83</v>
      </c>
    </row>
    <row r="28" spans="1:9">
      <c r="A28" s="10">
        <v>0.9375</v>
      </c>
      <c r="B28">
        <v>88.1</v>
      </c>
      <c r="C28">
        <v>58.9</v>
      </c>
      <c r="D28">
        <v>248.2</v>
      </c>
      <c r="E28">
        <v>-63.7</v>
      </c>
      <c r="F28" t="s">
        <v>84</v>
      </c>
      <c r="G28">
        <v>110.7</v>
      </c>
      <c r="H28">
        <v>-22.5</v>
      </c>
      <c r="I28" t="s">
        <v>83</v>
      </c>
    </row>
    <row r="29" spans="1:9">
      <c r="A29" s="10">
        <v>0.94791666666666663</v>
      </c>
      <c r="B29">
        <v>85.6</v>
      </c>
      <c r="C29">
        <v>61.9</v>
      </c>
      <c r="D29">
        <v>243.3</v>
      </c>
      <c r="E29">
        <v>-66.5</v>
      </c>
      <c r="F29" t="s">
        <v>84</v>
      </c>
      <c r="G29">
        <v>108.1</v>
      </c>
      <c r="H29">
        <v>-19.7</v>
      </c>
      <c r="I29" t="s">
        <v>83</v>
      </c>
    </row>
    <row r="30" spans="1:9">
      <c r="A30" s="10">
        <v>0.95833333333333337</v>
      </c>
      <c r="B30">
        <v>82.8</v>
      </c>
      <c r="C30">
        <v>64.900000000000006</v>
      </c>
      <c r="D30">
        <v>237.5</v>
      </c>
      <c r="E30">
        <v>-69.099999999999994</v>
      </c>
      <c r="F30" t="s">
        <v>84</v>
      </c>
      <c r="G30">
        <v>105.7</v>
      </c>
      <c r="H30">
        <v>-17</v>
      </c>
      <c r="I30" t="s">
        <v>83</v>
      </c>
    </row>
    <row r="31" spans="1:9">
      <c r="A31" s="10">
        <v>0.96875</v>
      </c>
      <c r="B31">
        <v>79.599999999999994</v>
      </c>
      <c r="C31">
        <v>68</v>
      </c>
      <c r="D31">
        <v>230.2</v>
      </c>
      <c r="E31">
        <v>-71.599999999999994</v>
      </c>
      <c r="F31" t="s">
        <v>84</v>
      </c>
      <c r="G31">
        <v>103.3</v>
      </c>
      <c r="H31">
        <v>-14.2</v>
      </c>
      <c r="I31" t="s">
        <v>83</v>
      </c>
    </row>
    <row r="32" spans="1:9">
      <c r="A32" s="10">
        <v>0.97916666666666663</v>
      </c>
      <c r="B32">
        <v>75.599999999999994</v>
      </c>
      <c r="C32">
        <v>70.900000000000006</v>
      </c>
      <c r="D32">
        <v>221.2</v>
      </c>
      <c r="E32">
        <v>-73.8</v>
      </c>
      <c r="F32" t="s">
        <v>84</v>
      </c>
      <c r="G32">
        <v>101</v>
      </c>
      <c r="H32">
        <v>-11.3</v>
      </c>
      <c r="I32" t="s">
        <v>83</v>
      </c>
    </row>
    <row r="33" spans="1:9">
      <c r="A33" s="10">
        <v>0.98958333333333337</v>
      </c>
      <c r="B33">
        <v>70.599999999999994</v>
      </c>
      <c r="C33">
        <v>73.900000000000006</v>
      </c>
      <c r="D33">
        <v>210</v>
      </c>
      <c r="E33">
        <v>-75.599999999999994</v>
      </c>
      <c r="F33" t="s">
        <v>84</v>
      </c>
      <c r="G33">
        <v>98.7</v>
      </c>
      <c r="H33">
        <v>-8.4</v>
      </c>
      <c r="I33" t="s">
        <v>83</v>
      </c>
    </row>
    <row r="34" spans="1:9">
      <c r="A34" s="10">
        <v>0</v>
      </c>
      <c r="B34">
        <v>64</v>
      </c>
      <c r="C34">
        <v>76.7</v>
      </c>
      <c r="D34">
        <v>196.4</v>
      </c>
      <c r="E34">
        <v>-76.8</v>
      </c>
      <c r="F34" t="s">
        <v>84</v>
      </c>
      <c r="G34">
        <v>96.5</v>
      </c>
      <c r="H34">
        <v>-5.6</v>
      </c>
      <c r="I34" t="s">
        <v>83</v>
      </c>
    </row>
    <row r="35" spans="1:9">
      <c r="A35" s="10">
        <v>1.0416666666666666E-2</v>
      </c>
      <c r="B35">
        <v>54.4</v>
      </c>
      <c r="C35">
        <v>79.3</v>
      </c>
      <c r="D35">
        <v>181.2</v>
      </c>
      <c r="E35">
        <v>-77.2</v>
      </c>
      <c r="F35" t="s">
        <v>84</v>
      </c>
      <c r="G35">
        <v>94.3</v>
      </c>
      <c r="H35">
        <v>-2.7</v>
      </c>
      <c r="I35" t="s">
        <v>83</v>
      </c>
    </row>
    <row r="36" spans="1:9">
      <c r="A36" s="10">
        <v>2.0833333333333332E-2</v>
      </c>
      <c r="B36">
        <v>39.799999999999997</v>
      </c>
      <c r="C36">
        <v>81.599999999999994</v>
      </c>
      <c r="D36">
        <v>165.8</v>
      </c>
      <c r="E36">
        <v>-76.900000000000006</v>
      </c>
      <c r="F36" t="s">
        <v>84</v>
      </c>
      <c r="G36">
        <v>92.2</v>
      </c>
      <c r="H36">
        <v>0.3</v>
      </c>
      <c r="I36" t="s">
        <v>84</v>
      </c>
    </row>
    <row r="37" spans="1:9">
      <c r="A37" s="10">
        <v>3.125E-2</v>
      </c>
      <c r="B37">
        <v>17.600000000000001</v>
      </c>
      <c r="C37">
        <v>83.1</v>
      </c>
      <c r="D37">
        <v>151.9</v>
      </c>
      <c r="E37">
        <v>-75.8</v>
      </c>
      <c r="F37" t="s">
        <v>84</v>
      </c>
      <c r="G37">
        <v>90</v>
      </c>
      <c r="H37">
        <v>3.2</v>
      </c>
      <c r="I37" t="s">
        <v>84</v>
      </c>
    </row>
    <row r="38" spans="1:9">
      <c r="A38" s="10">
        <v>4.1666666666666664E-2</v>
      </c>
      <c r="B38">
        <v>349.8</v>
      </c>
      <c r="C38">
        <v>83.3</v>
      </c>
      <c r="D38">
        <v>140.30000000000001</v>
      </c>
      <c r="E38">
        <v>-74.099999999999994</v>
      </c>
      <c r="F38" t="s">
        <v>84</v>
      </c>
      <c r="G38">
        <v>87.8</v>
      </c>
      <c r="H38">
        <v>6.1</v>
      </c>
      <c r="I38" t="s">
        <v>84</v>
      </c>
    </row>
    <row r="39" spans="1:9">
      <c r="A39" s="10">
        <v>5.2083333333333336E-2</v>
      </c>
      <c r="B39">
        <v>325.5</v>
      </c>
      <c r="C39">
        <v>82.1</v>
      </c>
      <c r="D39">
        <v>131</v>
      </c>
      <c r="E39">
        <v>-71.900000000000006</v>
      </c>
      <c r="F39" t="s">
        <v>84</v>
      </c>
      <c r="G39">
        <v>85.6</v>
      </c>
      <c r="H39">
        <v>9</v>
      </c>
      <c r="I39" t="s">
        <v>84</v>
      </c>
    </row>
    <row r="40" spans="1:9">
      <c r="A40" s="10">
        <v>6.25E-2</v>
      </c>
      <c r="B40">
        <v>309</v>
      </c>
      <c r="C40">
        <v>80</v>
      </c>
      <c r="D40">
        <v>123.5</v>
      </c>
      <c r="E40">
        <v>-69.5</v>
      </c>
      <c r="F40" t="s">
        <v>84</v>
      </c>
      <c r="G40">
        <v>83.4</v>
      </c>
      <c r="H40">
        <v>11.9</v>
      </c>
      <c r="I40" t="s">
        <v>84</v>
      </c>
    </row>
    <row r="41" spans="1:9">
      <c r="A41" s="10">
        <v>7.2916666666666671E-2</v>
      </c>
      <c r="B41">
        <v>298.3</v>
      </c>
      <c r="C41">
        <v>77.400000000000006</v>
      </c>
      <c r="D41">
        <v>117.4</v>
      </c>
      <c r="E41">
        <v>-66.900000000000006</v>
      </c>
      <c r="F41" t="s">
        <v>84</v>
      </c>
      <c r="G41">
        <v>81.099999999999994</v>
      </c>
      <c r="H41">
        <v>14.9</v>
      </c>
      <c r="I41" t="s">
        <v>84</v>
      </c>
    </row>
    <row r="42" spans="1:9">
      <c r="A42" s="10">
        <v>8.3333333333333329E-2</v>
      </c>
      <c r="B42">
        <v>291</v>
      </c>
      <c r="C42">
        <v>74.7</v>
      </c>
      <c r="D42">
        <v>112.4</v>
      </c>
      <c r="E42">
        <v>-64.099999999999994</v>
      </c>
      <c r="F42" t="s">
        <v>84</v>
      </c>
      <c r="G42">
        <v>78.8</v>
      </c>
      <c r="H42">
        <v>17.7</v>
      </c>
      <c r="I42" t="s">
        <v>84</v>
      </c>
    </row>
    <row r="43" spans="1:9">
      <c r="A43" s="10">
        <v>9.375E-2</v>
      </c>
      <c r="B43">
        <v>285.60000000000002</v>
      </c>
      <c r="C43">
        <v>71.8</v>
      </c>
      <c r="D43">
        <v>108.2</v>
      </c>
      <c r="E43">
        <v>-61.3</v>
      </c>
      <c r="F43" t="s">
        <v>84</v>
      </c>
      <c r="G43">
        <v>76.400000000000006</v>
      </c>
      <c r="H43">
        <v>20.6</v>
      </c>
      <c r="I43" t="s">
        <v>84</v>
      </c>
    </row>
    <row r="44" spans="1:9">
      <c r="A44" s="10">
        <v>0.10416666666666667</v>
      </c>
      <c r="B44">
        <v>281.39999999999998</v>
      </c>
      <c r="C44">
        <v>68.8</v>
      </c>
      <c r="D44">
        <v>104.5</v>
      </c>
      <c r="E44">
        <v>-58.3</v>
      </c>
      <c r="F44" t="s">
        <v>84</v>
      </c>
      <c r="G44">
        <v>73.900000000000006</v>
      </c>
      <c r="H44">
        <v>23.4</v>
      </c>
      <c r="I44" t="s">
        <v>84</v>
      </c>
    </row>
    <row r="45" spans="1:9">
      <c r="A45" s="10">
        <v>0.11458333333333333</v>
      </c>
      <c r="B45">
        <v>278</v>
      </c>
      <c r="C45">
        <v>65.8</v>
      </c>
      <c r="D45">
        <v>101.3</v>
      </c>
      <c r="E45">
        <v>-55.4</v>
      </c>
      <c r="F45" t="s">
        <v>84</v>
      </c>
      <c r="G45">
        <v>71.3</v>
      </c>
      <c r="H45">
        <v>26.2</v>
      </c>
      <c r="I45" t="s">
        <v>84</v>
      </c>
    </row>
    <row r="46" spans="1:9">
      <c r="A46" s="10">
        <v>0.125</v>
      </c>
      <c r="B46">
        <v>275.10000000000002</v>
      </c>
      <c r="C46">
        <v>62.7</v>
      </c>
      <c r="D46">
        <v>98.4</v>
      </c>
      <c r="E46">
        <v>-52.4</v>
      </c>
      <c r="F46" t="s">
        <v>84</v>
      </c>
      <c r="G46">
        <v>68.5</v>
      </c>
      <c r="H46">
        <v>29</v>
      </c>
      <c r="I46" t="s">
        <v>84</v>
      </c>
    </row>
    <row r="47" spans="1:9">
      <c r="A47" s="10">
        <v>0.13541666666666666</v>
      </c>
      <c r="B47">
        <v>272.5</v>
      </c>
      <c r="C47">
        <v>59.7</v>
      </c>
      <c r="D47">
        <v>95.8</v>
      </c>
      <c r="E47">
        <v>-49.3</v>
      </c>
      <c r="F47" t="s">
        <v>84</v>
      </c>
      <c r="G47">
        <v>65.7</v>
      </c>
      <c r="H47">
        <v>31.7</v>
      </c>
      <c r="I47" t="s">
        <v>84</v>
      </c>
    </row>
    <row r="48" spans="1:9">
      <c r="A48" s="10">
        <v>0.14583333333333334</v>
      </c>
      <c r="B48">
        <v>270.2</v>
      </c>
      <c r="C48">
        <v>56.6</v>
      </c>
      <c r="D48">
        <v>93.3</v>
      </c>
      <c r="E48">
        <v>-46.3</v>
      </c>
      <c r="F48" t="s">
        <v>84</v>
      </c>
      <c r="G48">
        <v>62.6</v>
      </c>
      <c r="H48">
        <v>34.4</v>
      </c>
      <c r="I48" t="s">
        <v>84</v>
      </c>
    </row>
    <row r="49" spans="1:9">
      <c r="A49" s="10">
        <v>0.15625</v>
      </c>
      <c r="B49">
        <v>268.10000000000002</v>
      </c>
      <c r="C49">
        <v>53.6</v>
      </c>
      <c r="D49">
        <v>91</v>
      </c>
      <c r="E49">
        <v>-43.3</v>
      </c>
      <c r="F49" t="s">
        <v>84</v>
      </c>
      <c r="G49">
        <v>59.4</v>
      </c>
      <c r="H49">
        <v>36.9</v>
      </c>
      <c r="I49" t="s">
        <v>84</v>
      </c>
    </row>
    <row r="50" spans="1:9">
      <c r="A50" s="10">
        <v>0.16666666666666666</v>
      </c>
      <c r="B50">
        <v>266.10000000000002</v>
      </c>
      <c r="C50">
        <v>50.5</v>
      </c>
      <c r="D50">
        <v>88.8</v>
      </c>
      <c r="E50">
        <v>-40.200000000000003</v>
      </c>
      <c r="F50" t="s">
        <v>84</v>
      </c>
      <c r="G50">
        <v>55.9</v>
      </c>
      <c r="H50">
        <v>39.4</v>
      </c>
      <c r="I50" t="s">
        <v>84</v>
      </c>
    </row>
    <row r="51" spans="1:9">
      <c r="A51" s="10">
        <v>0.17708333333333334</v>
      </c>
      <c r="B51">
        <v>264.2</v>
      </c>
      <c r="C51">
        <v>47.5</v>
      </c>
      <c r="D51">
        <v>86.7</v>
      </c>
      <c r="E51">
        <v>-37.200000000000003</v>
      </c>
      <c r="F51" t="s">
        <v>84</v>
      </c>
      <c r="G51">
        <v>52.2</v>
      </c>
      <c r="H51">
        <v>41.8</v>
      </c>
      <c r="I51" t="s">
        <v>84</v>
      </c>
    </row>
    <row r="52" spans="1:9">
      <c r="A52" s="10">
        <v>0.1875</v>
      </c>
      <c r="B52">
        <v>262.39999999999998</v>
      </c>
      <c r="C52">
        <v>44.4</v>
      </c>
      <c r="D52">
        <v>84.7</v>
      </c>
      <c r="E52">
        <v>-34.1</v>
      </c>
      <c r="F52" t="s">
        <v>84</v>
      </c>
      <c r="G52">
        <v>48.3</v>
      </c>
      <c r="H52">
        <v>44</v>
      </c>
      <c r="I52" t="s">
        <v>84</v>
      </c>
    </row>
    <row r="53" spans="1:9">
      <c r="A53" s="10">
        <v>0.19791666666666666</v>
      </c>
      <c r="B53">
        <v>260.60000000000002</v>
      </c>
      <c r="C53">
        <v>41.4</v>
      </c>
      <c r="D53">
        <v>82.7</v>
      </c>
      <c r="E53">
        <v>-31.1</v>
      </c>
      <c r="F53" t="s">
        <v>84</v>
      </c>
      <c r="G53">
        <v>44</v>
      </c>
      <c r="H53">
        <v>46.1</v>
      </c>
      <c r="I53" t="s">
        <v>84</v>
      </c>
    </row>
    <row r="54" spans="1:9">
      <c r="A54" s="10">
        <v>0.20833333333333334</v>
      </c>
      <c r="B54">
        <v>258.89999999999998</v>
      </c>
      <c r="C54">
        <v>38.4</v>
      </c>
      <c r="D54">
        <v>80.8</v>
      </c>
      <c r="E54">
        <v>-28.1</v>
      </c>
      <c r="F54" t="s">
        <v>84</v>
      </c>
      <c r="G54">
        <v>39.4</v>
      </c>
      <c r="H54">
        <v>48.1</v>
      </c>
      <c r="I54" t="s">
        <v>84</v>
      </c>
    </row>
    <row r="55" spans="1:9">
      <c r="A55" s="10">
        <v>0.21875</v>
      </c>
      <c r="B55">
        <v>257.2</v>
      </c>
      <c r="C55">
        <v>35.4</v>
      </c>
      <c r="D55">
        <v>78.900000000000006</v>
      </c>
      <c r="E55">
        <v>-25.1</v>
      </c>
      <c r="F55" t="s">
        <v>84</v>
      </c>
      <c r="G55">
        <v>34.4</v>
      </c>
      <c r="H55">
        <v>49.8</v>
      </c>
      <c r="I55" t="s">
        <v>84</v>
      </c>
    </row>
    <row r="56" spans="1:9">
      <c r="A56" s="10">
        <v>0.22916666666666666</v>
      </c>
      <c r="B56">
        <v>255.5</v>
      </c>
      <c r="C56">
        <v>32.5</v>
      </c>
      <c r="D56">
        <v>77</v>
      </c>
      <c r="E56">
        <v>-22.1</v>
      </c>
      <c r="F56" t="s">
        <v>84</v>
      </c>
      <c r="G56">
        <v>29.1</v>
      </c>
      <c r="H56">
        <v>51.3</v>
      </c>
      <c r="I56" t="s">
        <v>84</v>
      </c>
    </row>
    <row r="57" spans="1:9">
      <c r="A57" s="10">
        <v>0.23958333333333334</v>
      </c>
      <c r="B57">
        <v>253.8</v>
      </c>
      <c r="C57">
        <v>29.5</v>
      </c>
      <c r="D57">
        <v>75.099999999999994</v>
      </c>
      <c r="E57">
        <v>-19.2</v>
      </c>
      <c r="F57" t="s">
        <v>84</v>
      </c>
      <c r="G57">
        <v>23.5</v>
      </c>
      <c r="H57">
        <v>52.6</v>
      </c>
      <c r="I57" t="s">
        <v>84</v>
      </c>
    </row>
    <row r="58" spans="1:9">
      <c r="A58" s="10">
        <v>0.25</v>
      </c>
      <c r="B58">
        <v>252</v>
      </c>
      <c r="C58">
        <v>26.6</v>
      </c>
      <c r="D58">
        <v>73.099999999999994</v>
      </c>
      <c r="E58">
        <v>-16.2</v>
      </c>
      <c r="F58" t="s">
        <v>84</v>
      </c>
      <c r="G58">
        <v>17.600000000000001</v>
      </c>
      <c r="H58">
        <v>53.6</v>
      </c>
      <c r="I58" t="s">
        <v>84</v>
      </c>
    </row>
    <row r="59" spans="1:9">
      <c r="A59" s="10">
        <v>0.26041666666666669</v>
      </c>
      <c r="B59">
        <v>250.3</v>
      </c>
      <c r="C59">
        <v>23.7</v>
      </c>
      <c r="D59">
        <v>71.2</v>
      </c>
      <c r="E59">
        <v>-13.3</v>
      </c>
      <c r="F59" t="s">
        <v>84</v>
      </c>
      <c r="G59">
        <v>11.5</v>
      </c>
      <c r="H59">
        <v>54.3</v>
      </c>
      <c r="I59" t="s">
        <v>84</v>
      </c>
    </row>
    <row r="60" spans="1:9">
      <c r="A60" s="10">
        <v>0.27083333333333331</v>
      </c>
      <c r="B60">
        <v>248.6</v>
      </c>
      <c r="C60">
        <v>20.8</v>
      </c>
      <c r="D60">
        <v>69.2</v>
      </c>
      <c r="E60">
        <v>-10.5</v>
      </c>
      <c r="F60" t="s">
        <v>84</v>
      </c>
      <c r="G60">
        <v>5.0999999999999996</v>
      </c>
      <c r="H60">
        <v>54.6</v>
      </c>
      <c r="I60" t="s">
        <v>84</v>
      </c>
    </row>
    <row r="61" spans="1:9">
      <c r="A61" s="10">
        <v>0.28125</v>
      </c>
      <c r="B61">
        <v>246.8</v>
      </c>
      <c r="C61">
        <v>18</v>
      </c>
      <c r="D61">
        <v>67.2</v>
      </c>
      <c r="E61">
        <v>-7.6</v>
      </c>
      <c r="F61" t="s">
        <v>84</v>
      </c>
      <c r="G61">
        <v>358.8</v>
      </c>
      <c r="H61">
        <v>54.7</v>
      </c>
      <c r="I61" t="s">
        <v>84</v>
      </c>
    </row>
    <row r="62" spans="1:9">
      <c r="A62" s="10">
        <v>0.29166666666666669</v>
      </c>
      <c r="B62">
        <v>245</v>
      </c>
      <c r="C62">
        <v>15.2</v>
      </c>
      <c r="D62">
        <v>65.2</v>
      </c>
      <c r="E62">
        <v>-4.8</v>
      </c>
      <c r="F62" t="s">
        <v>84</v>
      </c>
      <c r="G62">
        <v>352.4</v>
      </c>
      <c r="H62">
        <v>54.4</v>
      </c>
      <c r="I62" t="s">
        <v>84</v>
      </c>
    </row>
    <row r="63" spans="1:9">
      <c r="A63" s="10">
        <v>0.30208333333333331</v>
      </c>
      <c r="B63">
        <v>243.1</v>
      </c>
      <c r="C63">
        <v>12.5</v>
      </c>
      <c r="D63">
        <v>63.1</v>
      </c>
      <c r="E63">
        <v>-2.1</v>
      </c>
      <c r="F63" t="s">
        <v>84</v>
      </c>
      <c r="G63">
        <v>346.2</v>
      </c>
      <c r="H63">
        <v>53.8</v>
      </c>
      <c r="I63" t="s">
        <v>84</v>
      </c>
    </row>
    <row r="64" spans="1:9">
      <c r="A64" s="10">
        <v>0.3125</v>
      </c>
      <c r="B64">
        <v>241.2</v>
      </c>
      <c r="C64">
        <v>9.8000000000000007</v>
      </c>
      <c r="D64">
        <v>60.9</v>
      </c>
      <c r="E64">
        <v>0.6</v>
      </c>
      <c r="F64" t="s">
        <v>84</v>
      </c>
      <c r="G64">
        <v>340.2</v>
      </c>
      <c r="H64">
        <v>52.8</v>
      </c>
      <c r="I64" t="s">
        <v>84</v>
      </c>
    </row>
    <row r="65" spans="1:9">
      <c r="A65" s="10">
        <v>0.32291666666666669</v>
      </c>
      <c r="B65">
        <v>239.2</v>
      </c>
      <c r="C65">
        <v>7.1</v>
      </c>
      <c r="D65">
        <v>58.7</v>
      </c>
      <c r="E65">
        <v>3.2</v>
      </c>
      <c r="F65" t="s">
        <v>84</v>
      </c>
      <c r="G65">
        <v>334.6</v>
      </c>
      <c r="H65">
        <v>51.6</v>
      </c>
      <c r="I65" t="s">
        <v>84</v>
      </c>
    </row>
    <row r="66" spans="1:9">
      <c r="A66" s="10">
        <v>0.33333333333333331</v>
      </c>
      <c r="B66">
        <v>237.2</v>
      </c>
      <c r="C66">
        <v>4.5</v>
      </c>
      <c r="D66">
        <v>56.4</v>
      </c>
      <c r="E66">
        <v>5.8</v>
      </c>
      <c r="F66" t="s">
        <v>84</v>
      </c>
      <c r="G66">
        <v>329.2</v>
      </c>
      <c r="H66">
        <v>50.1</v>
      </c>
      <c r="I66" t="s">
        <v>84</v>
      </c>
    </row>
    <row r="67" spans="1:9">
      <c r="A67" s="10">
        <v>0.34375</v>
      </c>
      <c r="B67">
        <v>235.1</v>
      </c>
      <c r="C67">
        <v>2</v>
      </c>
      <c r="D67">
        <v>54</v>
      </c>
      <c r="E67">
        <v>8.3000000000000007</v>
      </c>
      <c r="F67" t="s">
        <v>84</v>
      </c>
      <c r="G67">
        <v>324.2</v>
      </c>
      <c r="H67">
        <v>48.4</v>
      </c>
      <c r="I67" t="s">
        <v>84</v>
      </c>
    </row>
    <row r="68" spans="1:9">
      <c r="A68" s="10">
        <v>0.35416666666666669</v>
      </c>
      <c r="B68">
        <v>232.9</v>
      </c>
      <c r="C68">
        <v>-0.5</v>
      </c>
      <c r="D68">
        <v>51.5</v>
      </c>
      <c r="E68">
        <v>10.7</v>
      </c>
      <c r="F68" t="s">
        <v>83</v>
      </c>
      <c r="G68">
        <v>319.5</v>
      </c>
      <c r="H68">
        <v>46.5</v>
      </c>
      <c r="I68" t="s">
        <v>84</v>
      </c>
    </row>
    <row r="69" spans="1:9">
      <c r="A69" s="10">
        <v>0.36458333333333331</v>
      </c>
      <c r="B69">
        <v>230.7</v>
      </c>
      <c r="C69">
        <v>-2.9</v>
      </c>
      <c r="D69">
        <v>48.9</v>
      </c>
      <c r="E69">
        <v>13.1</v>
      </c>
      <c r="F69" t="s">
        <v>83</v>
      </c>
      <c r="G69">
        <v>315.2</v>
      </c>
      <c r="H69">
        <v>44.4</v>
      </c>
      <c r="I69" t="s">
        <v>84</v>
      </c>
    </row>
    <row r="70" spans="1:9">
      <c r="A70" s="10">
        <v>0.375</v>
      </c>
      <c r="B70">
        <v>228.4</v>
      </c>
      <c r="C70">
        <v>-5.2</v>
      </c>
      <c r="D70">
        <v>46.2</v>
      </c>
      <c r="E70">
        <v>15.3</v>
      </c>
      <c r="F70" t="s">
        <v>83</v>
      </c>
      <c r="G70">
        <v>311.2</v>
      </c>
      <c r="H70">
        <v>42.2</v>
      </c>
      <c r="I70" t="s">
        <v>84</v>
      </c>
    </row>
    <row r="71" spans="1:9">
      <c r="A71" s="10">
        <v>0.38541666666666669</v>
      </c>
      <c r="B71">
        <v>225.9</v>
      </c>
      <c r="C71">
        <v>-7.5</v>
      </c>
      <c r="D71">
        <v>43.3</v>
      </c>
      <c r="E71">
        <v>17.399999999999999</v>
      </c>
      <c r="F71" t="s">
        <v>83</v>
      </c>
      <c r="G71">
        <v>307.39999999999998</v>
      </c>
      <c r="H71">
        <v>39.799999999999997</v>
      </c>
      <c r="I71" t="s">
        <v>84</v>
      </c>
    </row>
    <row r="72" spans="1:9">
      <c r="A72" s="10">
        <v>0.39583333333333331</v>
      </c>
      <c r="B72">
        <v>223.4</v>
      </c>
      <c r="C72">
        <v>-9.6</v>
      </c>
      <c r="D72">
        <v>40.4</v>
      </c>
      <c r="E72">
        <v>19.5</v>
      </c>
      <c r="F72" t="s">
        <v>83</v>
      </c>
      <c r="G72">
        <v>303.89999999999998</v>
      </c>
      <c r="H72">
        <v>37.4</v>
      </c>
      <c r="I72" t="s">
        <v>84</v>
      </c>
    </row>
    <row r="73" spans="1:9">
      <c r="A73" s="10">
        <v>0.40625</v>
      </c>
      <c r="B73">
        <v>220.8</v>
      </c>
      <c r="C73">
        <v>-11.6</v>
      </c>
      <c r="D73">
        <v>37.299999999999997</v>
      </c>
      <c r="E73">
        <v>21.4</v>
      </c>
      <c r="F73" t="s">
        <v>83</v>
      </c>
      <c r="G73">
        <v>300.7</v>
      </c>
      <c r="H73">
        <v>34.799999999999997</v>
      </c>
      <c r="I73" t="s">
        <v>84</v>
      </c>
    </row>
    <row r="74" spans="1:9">
      <c r="A74" s="10">
        <v>0.41666666666666669</v>
      </c>
      <c r="B74">
        <v>218.1</v>
      </c>
      <c r="C74">
        <v>-13.6</v>
      </c>
      <c r="D74">
        <v>34.1</v>
      </c>
      <c r="E74">
        <v>23.2</v>
      </c>
      <c r="F74" t="s">
        <v>83</v>
      </c>
      <c r="G74">
        <v>297.60000000000002</v>
      </c>
      <c r="H74">
        <v>32.1</v>
      </c>
      <c r="I74" t="s">
        <v>84</v>
      </c>
    </row>
    <row r="75" spans="1:9">
      <c r="A75" s="10">
        <v>0.42708333333333331</v>
      </c>
      <c r="B75">
        <v>215.2</v>
      </c>
      <c r="C75">
        <v>-15.4</v>
      </c>
      <c r="D75">
        <v>30.8</v>
      </c>
      <c r="E75">
        <v>24.8</v>
      </c>
      <c r="F75" t="s">
        <v>83</v>
      </c>
      <c r="G75">
        <v>294.8</v>
      </c>
      <c r="H75">
        <v>29.4</v>
      </c>
      <c r="I75" t="s">
        <v>84</v>
      </c>
    </row>
    <row r="76" spans="1:9">
      <c r="A76" s="10">
        <v>0.4375</v>
      </c>
      <c r="B76">
        <v>212.3</v>
      </c>
      <c r="C76">
        <v>-17.100000000000001</v>
      </c>
      <c r="D76">
        <v>27.3</v>
      </c>
      <c r="E76">
        <v>26.3</v>
      </c>
      <c r="F76" t="s">
        <v>83</v>
      </c>
      <c r="G76">
        <v>292.10000000000002</v>
      </c>
      <c r="H76">
        <v>26.6</v>
      </c>
      <c r="I76" t="s">
        <v>84</v>
      </c>
    </row>
    <row r="77" spans="1:9">
      <c r="A77" s="10">
        <v>0.44791666666666669</v>
      </c>
      <c r="B77">
        <v>209.3</v>
      </c>
      <c r="C77">
        <v>-18.7</v>
      </c>
      <c r="D77">
        <v>23.7</v>
      </c>
      <c r="E77">
        <v>27.6</v>
      </c>
      <c r="F77" t="s">
        <v>83</v>
      </c>
      <c r="G77">
        <v>289.5</v>
      </c>
      <c r="H77">
        <v>23.8</v>
      </c>
      <c r="I77" t="s">
        <v>84</v>
      </c>
    </row>
    <row r="78" spans="1:9">
      <c r="A78" s="10">
        <v>0.45833333333333331</v>
      </c>
      <c r="B78">
        <v>206.1</v>
      </c>
      <c r="C78">
        <v>-20.100000000000001</v>
      </c>
      <c r="D78">
        <v>20</v>
      </c>
      <c r="E78">
        <v>28.7</v>
      </c>
      <c r="F78" t="s">
        <v>83</v>
      </c>
      <c r="G78">
        <v>287</v>
      </c>
      <c r="H78">
        <v>21</v>
      </c>
      <c r="I78" t="s">
        <v>84</v>
      </c>
    </row>
    <row r="79" spans="1:9">
      <c r="A79" s="10">
        <v>0.46875</v>
      </c>
      <c r="B79">
        <v>202.9</v>
      </c>
      <c r="C79">
        <v>-21.4</v>
      </c>
      <c r="D79">
        <v>16.2</v>
      </c>
      <c r="E79">
        <v>29.7</v>
      </c>
      <c r="F79" t="s">
        <v>83</v>
      </c>
      <c r="G79">
        <v>284.7</v>
      </c>
      <c r="H79">
        <v>18</v>
      </c>
      <c r="I79" t="s">
        <v>84</v>
      </c>
    </row>
    <row r="80" spans="1:9">
      <c r="A80" s="10">
        <v>0.47916666666666669</v>
      </c>
      <c r="B80">
        <v>199.5</v>
      </c>
      <c r="C80">
        <v>-22.5</v>
      </c>
      <c r="D80">
        <v>12.3</v>
      </c>
      <c r="E80">
        <v>30.4</v>
      </c>
      <c r="F80" t="s">
        <v>83</v>
      </c>
      <c r="G80">
        <v>282.39999999999998</v>
      </c>
      <c r="H80">
        <v>15.1</v>
      </c>
      <c r="I80" t="s">
        <v>84</v>
      </c>
    </row>
    <row r="81" spans="1:9">
      <c r="A81" s="10">
        <v>0.48958333333333331</v>
      </c>
      <c r="B81">
        <v>196.1</v>
      </c>
      <c r="C81">
        <v>-23.4</v>
      </c>
      <c r="D81">
        <v>8.4</v>
      </c>
      <c r="E81">
        <v>31</v>
      </c>
      <c r="F81" t="s">
        <v>83</v>
      </c>
      <c r="G81">
        <v>280.2</v>
      </c>
      <c r="H81">
        <v>12.2</v>
      </c>
      <c r="I81" t="s">
        <v>84</v>
      </c>
    </row>
    <row r="82" spans="1:9">
      <c r="A82" s="10">
        <v>0.5</v>
      </c>
      <c r="B82">
        <v>192.6</v>
      </c>
      <c r="C82">
        <v>-24.2</v>
      </c>
      <c r="D82">
        <v>4.4000000000000004</v>
      </c>
      <c r="E82">
        <v>31.3</v>
      </c>
      <c r="F82" t="s">
        <v>83</v>
      </c>
      <c r="G82">
        <v>278</v>
      </c>
      <c r="H82">
        <v>9.1999999999999993</v>
      </c>
      <c r="I82" t="s">
        <v>84</v>
      </c>
    </row>
    <row r="83" spans="1:9">
      <c r="A83" s="10">
        <v>0.51041666666666663</v>
      </c>
      <c r="B83">
        <v>189.1</v>
      </c>
      <c r="C83">
        <v>-24.7</v>
      </c>
      <c r="D83">
        <v>0.3</v>
      </c>
      <c r="E83">
        <v>31.4</v>
      </c>
      <c r="F83" t="s">
        <v>83</v>
      </c>
      <c r="G83">
        <v>275.89999999999998</v>
      </c>
      <c r="H83">
        <v>6.2</v>
      </c>
      <c r="I83" t="s">
        <v>84</v>
      </c>
    </row>
    <row r="84" spans="1:9">
      <c r="A84" s="10">
        <v>0.52083333333333337</v>
      </c>
      <c r="B84">
        <v>185.5</v>
      </c>
      <c r="C84">
        <v>-25.1</v>
      </c>
      <c r="D84">
        <v>356.3</v>
      </c>
      <c r="E84">
        <v>31.3</v>
      </c>
      <c r="F84" t="s">
        <v>83</v>
      </c>
      <c r="G84">
        <v>273.8</v>
      </c>
      <c r="H84">
        <v>3.2</v>
      </c>
      <c r="I84" t="s">
        <v>84</v>
      </c>
    </row>
    <row r="85" spans="1:9">
      <c r="A85" s="10">
        <v>0.53125</v>
      </c>
      <c r="B85">
        <v>181.8</v>
      </c>
      <c r="C85">
        <v>-25.3</v>
      </c>
      <c r="D85">
        <v>352.3</v>
      </c>
      <c r="E85">
        <v>31</v>
      </c>
      <c r="F85" t="s">
        <v>83</v>
      </c>
      <c r="G85">
        <v>271.7</v>
      </c>
      <c r="H85">
        <v>0.2</v>
      </c>
      <c r="I85" t="s">
        <v>84</v>
      </c>
    </row>
    <row r="86" spans="1:9">
      <c r="A86" s="10">
        <v>0.54166666666666663</v>
      </c>
      <c r="B86">
        <v>178.2</v>
      </c>
      <c r="C86">
        <v>-25.3</v>
      </c>
      <c r="D86">
        <v>348.3</v>
      </c>
      <c r="E86">
        <v>30.5</v>
      </c>
      <c r="F86" t="s">
        <v>83</v>
      </c>
      <c r="G86">
        <v>269.60000000000002</v>
      </c>
      <c r="H86">
        <v>-2.8</v>
      </c>
      <c r="I86" t="s">
        <v>83</v>
      </c>
    </row>
    <row r="87" spans="1:9">
      <c r="A87" s="10">
        <v>0.55208333333333337</v>
      </c>
      <c r="B87">
        <v>174.6</v>
      </c>
      <c r="C87">
        <v>-25.1</v>
      </c>
      <c r="D87">
        <v>344.4</v>
      </c>
      <c r="E87">
        <v>29.8</v>
      </c>
      <c r="F87" t="s">
        <v>83</v>
      </c>
      <c r="G87">
        <v>267.60000000000002</v>
      </c>
      <c r="H87">
        <v>-5.7</v>
      </c>
      <c r="I87" t="s">
        <v>83</v>
      </c>
    </row>
    <row r="88" spans="1:9">
      <c r="A88" s="10">
        <v>0.5625</v>
      </c>
      <c r="B88">
        <v>171</v>
      </c>
      <c r="C88">
        <v>-24.7</v>
      </c>
      <c r="D88">
        <v>340.6</v>
      </c>
      <c r="E88">
        <v>28.9</v>
      </c>
      <c r="F88" t="s">
        <v>83</v>
      </c>
      <c r="G88">
        <v>265.5</v>
      </c>
      <c r="H88">
        <v>-8.6999999999999993</v>
      </c>
      <c r="I88" t="s">
        <v>83</v>
      </c>
    </row>
    <row r="89" spans="1:9">
      <c r="A89" s="10">
        <v>0.57291666666666663</v>
      </c>
      <c r="B89">
        <v>167.4</v>
      </c>
      <c r="C89">
        <v>-24.2</v>
      </c>
      <c r="D89">
        <v>336.8</v>
      </c>
      <c r="E89">
        <v>27.8</v>
      </c>
      <c r="F89" t="s">
        <v>83</v>
      </c>
      <c r="G89">
        <v>263.39999999999998</v>
      </c>
      <c r="H89">
        <v>-11.7</v>
      </c>
      <c r="I89" t="s">
        <v>83</v>
      </c>
    </row>
    <row r="90" spans="1:9">
      <c r="A90" s="10">
        <v>0.58333333333333337</v>
      </c>
      <c r="B90">
        <v>163.9</v>
      </c>
      <c r="C90">
        <v>-23.4</v>
      </c>
      <c r="D90">
        <v>333.2</v>
      </c>
      <c r="E90">
        <v>26.5</v>
      </c>
      <c r="F90" t="s">
        <v>83</v>
      </c>
      <c r="G90">
        <v>261.2</v>
      </c>
      <c r="H90">
        <v>-14.7</v>
      </c>
      <c r="I90" t="s">
        <v>83</v>
      </c>
    </row>
    <row r="91" spans="1:9">
      <c r="A91" s="10">
        <v>0.59375</v>
      </c>
      <c r="B91">
        <v>160.5</v>
      </c>
      <c r="C91">
        <v>-22.5</v>
      </c>
      <c r="D91">
        <v>329.8</v>
      </c>
      <c r="E91">
        <v>25</v>
      </c>
      <c r="F91" t="s">
        <v>83</v>
      </c>
      <c r="G91">
        <v>259</v>
      </c>
      <c r="H91">
        <v>-17.600000000000001</v>
      </c>
      <c r="I91" t="s">
        <v>83</v>
      </c>
    </row>
    <row r="92" spans="1:9">
      <c r="A92" s="10">
        <v>0.60416666666666663</v>
      </c>
      <c r="B92">
        <v>157.19999999999999</v>
      </c>
      <c r="C92">
        <v>-21.4</v>
      </c>
      <c r="D92">
        <v>326.39999999999998</v>
      </c>
      <c r="E92">
        <v>23.4</v>
      </c>
      <c r="F92" t="s">
        <v>83</v>
      </c>
      <c r="G92">
        <v>256.7</v>
      </c>
      <c r="H92">
        <v>-20.5</v>
      </c>
      <c r="I92" t="s">
        <v>83</v>
      </c>
    </row>
    <row r="93" spans="1:9">
      <c r="A93" s="10">
        <v>0.61458333333333337</v>
      </c>
      <c r="B93">
        <v>153.9</v>
      </c>
      <c r="C93">
        <v>-20.100000000000001</v>
      </c>
      <c r="D93">
        <v>323.2</v>
      </c>
      <c r="E93">
        <v>21.7</v>
      </c>
      <c r="F93" t="s">
        <v>83</v>
      </c>
      <c r="G93">
        <v>254.4</v>
      </c>
      <c r="H93">
        <v>-23.4</v>
      </c>
      <c r="I93" t="s">
        <v>83</v>
      </c>
    </row>
    <row r="94" spans="1:9">
      <c r="A94" s="10">
        <v>0.625</v>
      </c>
      <c r="B94">
        <v>150.80000000000001</v>
      </c>
      <c r="C94">
        <v>-18.7</v>
      </c>
      <c r="D94">
        <v>320.10000000000002</v>
      </c>
      <c r="E94">
        <v>19.8</v>
      </c>
      <c r="F94" t="s">
        <v>83</v>
      </c>
      <c r="G94">
        <v>251.9</v>
      </c>
      <c r="H94">
        <v>-26.3</v>
      </c>
      <c r="I94" t="s">
        <v>83</v>
      </c>
    </row>
    <row r="95" spans="1:9">
      <c r="A95" s="10">
        <v>0.63541666666666663</v>
      </c>
      <c r="B95">
        <v>147.69999999999999</v>
      </c>
      <c r="C95">
        <v>-17.100000000000001</v>
      </c>
      <c r="D95">
        <v>317.10000000000002</v>
      </c>
      <c r="E95">
        <v>17.8</v>
      </c>
      <c r="F95" t="s">
        <v>83</v>
      </c>
      <c r="G95">
        <v>249.4</v>
      </c>
      <c r="H95">
        <v>-29.1</v>
      </c>
      <c r="I95" t="s">
        <v>83</v>
      </c>
    </row>
    <row r="96" spans="1:9">
      <c r="A96" s="10">
        <v>0.64583333333333337</v>
      </c>
      <c r="B96">
        <v>144.80000000000001</v>
      </c>
      <c r="C96">
        <v>-15.4</v>
      </c>
      <c r="D96">
        <v>314.3</v>
      </c>
      <c r="E96">
        <v>15.6</v>
      </c>
      <c r="F96" t="s">
        <v>83</v>
      </c>
      <c r="G96">
        <v>246.7</v>
      </c>
      <c r="H96">
        <v>-31.8</v>
      </c>
      <c r="I96" t="s">
        <v>83</v>
      </c>
    </row>
    <row r="97" spans="1:9">
      <c r="A97" s="10">
        <v>0.65625</v>
      </c>
      <c r="B97">
        <v>142</v>
      </c>
      <c r="C97">
        <v>-13.6</v>
      </c>
      <c r="D97">
        <v>311.60000000000002</v>
      </c>
      <c r="E97">
        <v>13.4</v>
      </c>
      <c r="F97" t="s">
        <v>83</v>
      </c>
      <c r="G97">
        <v>243.8</v>
      </c>
      <c r="H97">
        <v>-34.5</v>
      </c>
      <c r="I97" t="s">
        <v>83</v>
      </c>
    </row>
    <row r="98" spans="1:9">
      <c r="A98" s="10">
        <v>0.66666666666666663</v>
      </c>
      <c r="B98">
        <v>139.19999999999999</v>
      </c>
      <c r="C98">
        <v>-11.7</v>
      </c>
      <c r="D98">
        <v>309</v>
      </c>
      <c r="E98">
        <v>11.1</v>
      </c>
      <c r="F98" t="s">
        <v>83</v>
      </c>
      <c r="G98">
        <v>240.8</v>
      </c>
      <c r="H98">
        <v>-37.200000000000003</v>
      </c>
      <c r="I98" t="s">
        <v>83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BF13-0C82-4BF4-AF93-E27AA813D943}">
  <sheetPr codeName="Sheet9"/>
  <dimension ref="A1:H67"/>
  <sheetViews>
    <sheetView topLeftCell="A10" workbookViewId="0">
      <selection activeCell="H68" sqref="A1:H68"/>
    </sheetView>
  </sheetViews>
  <sheetFormatPr defaultRowHeight="14.5"/>
  <cols>
    <col min="1" max="1" width="5.1796875" bestFit="1" customWidth="1"/>
    <col min="2" max="4" width="12.453125" bestFit="1" customWidth="1"/>
    <col min="5" max="5" width="14.81640625" bestFit="1" customWidth="1"/>
    <col min="6" max="6" width="11.54296875" bestFit="1" customWidth="1"/>
    <col min="7" max="7" width="10.26953125" bestFit="1" customWidth="1"/>
    <col min="8" max="8" width="10.81640625" bestFit="1" customWidth="1"/>
  </cols>
  <sheetData>
    <row r="1" spans="1:8">
      <c r="A1" s="23" t="s">
        <v>103</v>
      </c>
      <c r="B1" s="23" t="s">
        <v>104</v>
      </c>
      <c r="C1" s="23" t="s">
        <v>105</v>
      </c>
      <c r="D1" s="23" t="s">
        <v>106</v>
      </c>
      <c r="E1" s="23" t="s">
        <v>107</v>
      </c>
      <c r="F1" s="23" t="s">
        <v>108</v>
      </c>
      <c r="G1" s="23" t="s">
        <v>109</v>
      </c>
      <c r="H1" s="23" t="s">
        <v>247</v>
      </c>
    </row>
    <row r="2" spans="1:8">
      <c r="A2" s="24">
        <v>0</v>
      </c>
      <c r="B2" s="24">
        <v>0</v>
      </c>
      <c r="C2" s="24">
        <v>0</v>
      </c>
      <c r="D2" s="24">
        <v>0</v>
      </c>
      <c r="E2" s="24">
        <v>0</v>
      </c>
      <c r="F2" s="24">
        <v>0</v>
      </c>
      <c r="G2">
        <v>0</v>
      </c>
    </row>
    <row r="3" spans="1:8">
      <c r="A3" s="24">
        <v>0</v>
      </c>
      <c r="B3" s="24">
        <v>0</v>
      </c>
      <c r="C3" s="24">
        <v>0</v>
      </c>
      <c r="D3" s="24">
        <v>180</v>
      </c>
      <c r="E3" s="24">
        <v>0</v>
      </c>
      <c r="F3" s="24">
        <v>0</v>
      </c>
      <c r="G3">
        <v>0</v>
      </c>
      <c r="H3">
        <v>3</v>
      </c>
    </row>
    <row r="4" spans="1:8">
      <c r="A4" s="24">
        <v>0</v>
      </c>
      <c r="B4" s="24">
        <v>0</v>
      </c>
      <c r="C4" s="24">
        <v>0</v>
      </c>
      <c r="D4" s="24">
        <v>180</v>
      </c>
      <c r="E4" s="24">
        <v>0</v>
      </c>
      <c r="F4" s="24">
        <v>0</v>
      </c>
      <c r="G4">
        <v>0</v>
      </c>
    </row>
    <row r="5" spans="1:8">
      <c r="A5" s="24">
        <v>0</v>
      </c>
      <c r="B5" s="24">
        <v>9.2021418959680132E-20</v>
      </c>
      <c r="C5" s="24">
        <v>-2.8479999999999998E-5</v>
      </c>
      <c r="D5" s="24">
        <v>180</v>
      </c>
      <c r="E5" s="24">
        <v>2.8479999999999998E-5</v>
      </c>
      <c r="F5" s="24">
        <v>0</v>
      </c>
      <c r="G5">
        <v>10</v>
      </c>
    </row>
    <row r="6" spans="1:8">
      <c r="A6" s="24">
        <v>0</v>
      </c>
      <c r="B6" s="24">
        <v>6.9016064219760103E-19</v>
      </c>
      <c r="C6" s="24">
        <v>-2.1359999999999999E-4</v>
      </c>
      <c r="D6" s="24">
        <v>180</v>
      </c>
      <c r="E6" s="24">
        <v>1.8511999999999999E-4</v>
      </c>
      <c r="F6" s="24">
        <v>0</v>
      </c>
      <c r="G6">
        <v>20</v>
      </c>
    </row>
    <row r="7" spans="1:8">
      <c r="A7">
        <v>0</v>
      </c>
      <c r="B7">
        <v>1.2422891559556818E-18</v>
      </c>
      <c r="C7">
        <v>-3.8447999999999998E-4</v>
      </c>
      <c r="D7">
        <v>180</v>
      </c>
      <c r="E7">
        <v>1.7087999999999999E-4</v>
      </c>
      <c r="F7">
        <v>0</v>
      </c>
      <c r="G7">
        <v>30</v>
      </c>
    </row>
    <row r="8" spans="1:8">
      <c r="A8">
        <v>0</v>
      </c>
      <c r="B8">
        <v>1.6563855412742424E-18</v>
      </c>
      <c r="C8">
        <v>-5.1263999999999997E-4</v>
      </c>
      <c r="D8">
        <v>180</v>
      </c>
      <c r="E8">
        <v>1.2815999999999999E-4</v>
      </c>
      <c r="F8">
        <v>0</v>
      </c>
      <c r="G8">
        <v>40</v>
      </c>
    </row>
    <row r="9" spans="1:8">
      <c r="A9">
        <v>0</v>
      </c>
      <c r="B9">
        <v>3.6003380167974856E-18</v>
      </c>
      <c r="C9">
        <v>-1.11428E-3</v>
      </c>
      <c r="D9">
        <v>180</v>
      </c>
      <c r="E9">
        <v>6.0163999999999997E-4</v>
      </c>
      <c r="F9">
        <v>0</v>
      </c>
      <c r="G9">
        <v>50</v>
      </c>
    </row>
    <row r="10" spans="1:8">
      <c r="A10">
        <v>0</v>
      </c>
      <c r="B10">
        <v>5.0381726880424875E-18</v>
      </c>
      <c r="C10">
        <v>-1.5592800000000001E-3</v>
      </c>
      <c r="D10">
        <v>180</v>
      </c>
      <c r="E10">
        <v>4.4499999999999997E-4</v>
      </c>
      <c r="F10">
        <v>0</v>
      </c>
      <c r="G10">
        <v>60</v>
      </c>
    </row>
    <row r="11" spans="1:8">
      <c r="A11">
        <v>0</v>
      </c>
      <c r="B11">
        <v>8.6385107048399731E-18</v>
      </c>
      <c r="C11">
        <v>-2.6735600000000002E-3</v>
      </c>
      <c r="D11">
        <v>180</v>
      </c>
      <c r="E11">
        <v>1.11428E-3</v>
      </c>
      <c r="F11">
        <v>0</v>
      </c>
      <c r="G11">
        <v>70</v>
      </c>
    </row>
    <row r="12" spans="1:8">
      <c r="A12">
        <v>0</v>
      </c>
      <c r="B12">
        <v>1.2003043835553278E-17</v>
      </c>
      <c r="C12">
        <v>-3.7148600000000004E-3</v>
      </c>
      <c r="D12">
        <v>180</v>
      </c>
      <c r="E12">
        <v>1.0413E-3</v>
      </c>
      <c r="F12">
        <v>0</v>
      </c>
      <c r="G12">
        <v>80</v>
      </c>
    </row>
    <row r="13" spans="1:8">
      <c r="A13">
        <v>0</v>
      </c>
      <c r="B13">
        <v>1.8691850726185026E-17</v>
      </c>
      <c r="C13">
        <v>-5.7850000000000002E-3</v>
      </c>
      <c r="D13">
        <v>180</v>
      </c>
      <c r="E13">
        <v>2.0701399999999998E-3</v>
      </c>
      <c r="F13">
        <v>0</v>
      </c>
      <c r="G13">
        <v>90</v>
      </c>
    </row>
    <row r="14" spans="1:8">
      <c r="A14">
        <v>0</v>
      </c>
      <c r="B14">
        <v>2.5518689745256296E-17</v>
      </c>
      <c r="C14">
        <v>-7.8978599999999996E-3</v>
      </c>
      <c r="D14">
        <v>180</v>
      </c>
      <c r="E14">
        <v>2.1128599999999998E-3</v>
      </c>
      <c r="F14">
        <v>0</v>
      </c>
      <c r="G14">
        <v>100</v>
      </c>
    </row>
    <row r="15" spans="1:8">
      <c r="A15">
        <v>0</v>
      </c>
      <c r="B15">
        <v>3.0528105739873884E-17</v>
      </c>
      <c r="C15">
        <v>-9.4482400000000001E-3</v>
      </c>
      <c r="D15">
        <v>180</v>
      </c>
      <c r="E15">
        <v>1.5503799999999999E-3</v>
      </c>
      <c r="F15">
        <v>0</v>
      </c>
      <c r="G15">
        <v>100</v>
      </c>
    </row>
    <row r="16" spans="1:8">
      <c r="A16">
        <v>0</v>
      </c>
      <c r="B16">
        <v>4.1139325613661998E-17</v>
      </c>
      <c r="C16">
        <v>-1.273234E-2</v>
      </c>
      <c r="D16">
        <v>180</v>
      </c>
      <c r="E16">
        <v>3.2840999999999999E-3</v>
      </c>
      <c r="F16">
        <v>0</v>
      </c>
      <c r="G16">
        <v>100</v>
      </c>
    </row>
    <row r="17" spans="1:8">
      <c r="A17">
        <v>0</v>
      </c>
      <c r="B17">
        <v>3.4535063401699457E-16</v>
      </c>
      <c r="C17">
        <v>-0.10688365999999999</v>
      </c>
      <c r="D17">
        <v>180</v>
      </c>
      <c r="E17">
        <v>9.4151319999999997E-2</v>
      </c>
      <c r="F17">
        <v>0</v>
      </c>
      <c r="G17">
        <v>100</v>
      </c>
    </row>
    <row r="18" spans="1:8">
      <c r="A18">
        <v>0</v>
      </c>
      <c r="B18">
        <v>1.0241696363278151E-15</v>
      </c>
      <c r="C18">
        <v>-0.31697350000000002</v>
      </c>
      <c r="D18">
        <v>180</v>
      </c>
      <c r="E18">
        <v>0.21008984</v>
      </c>
      <c r="F18">
        <v>0</v>
      </c>
      <c r="G18">
        <v>100</v>
      </c>
    </row>
    <row r="19" spans="1:8">
      <c r="A19">
        <v>0</v>
      </c>
      <c r="B19">
        <v>2.5572924869055658E-15</v>
      </c>
      <c r="C19">
        <v>-0.79146453999999999</v>
      </c>
      <c r="D19">
        <v>180</v>
      </c>
      <c r="E19">
        <v>0.47449103999999998</v>
      </c>
      <c r="F19">
        <v>0</v>
      </c>
      <c r="G19">
        <v>100</v>
      </c>
      <c r="H19">
        <v>19</v>
      </c>
    </row>
    <row r="20" spans="1:8">
      <c r="A20">
        <v>0</v>
      </c>
      <c r="B20">
        <v>-1.4491935498845958E-5</v>
      </c>
      <c r="C20">
        <v>-0.80942829220592749</v>
      </c>
      <c r="D20">
        <v>-179.9075553312517</v>
      </c>
      <c r="E20">
        <v>1.7963759999999999E-2</v>
      </c>
      <c r="F20">
        <v>2.52</v>
      </c>
      <c r="G20">
        <v>100</v>
      </c>
      <c r="H20">
        <v>20</v>
      </c>
    </row>
    <row r="21" spans="1:8">
      <c r="A21">
        <v>0</v>
      </c>
      <c r="B21">
        <v>-1.2032438074806057E-4</v>
      </c>
      <c r="C21">
        <v>-0.83590911565870818</v>
      </c>
      <c r="D21">
        <v>-179.63447400368159</v>
      </c>
      <c r="E21">
        <v>2.6481059999999997E-2</v>
      </c>
      <c r="F21">
        <v>5.04</v>
      </c>
      <c r="G21">
        <v>100</v>
      </c>
      <c r="H21">
        <v>21</v>
      </c>
    </row>
    <row r="22" spans="1:8">
      <c r="A22">
        <v>0</v>
      </c>
      <c r="B22">
        <v>-2.5986370236516678E-4</v>
      </c>
      <c r="C22">
        <v>-0.85216880377077131</v>
      </c>
      <c r="D22">
        <v>-179.38213469354147</v>
      </c>
      <c r="E22">
        <v>1.6260299999999998E-2</v>
      </c>
      <c r="F22">
        <v>7.5600000000000005</v>
      </c>
      <c r="G22">
        <v>100</v>
      </c>
      <c r="H22">
        <v>22</v>
      </c>
    </row>
    <row r="23" spans="1:8">
      <c r="A23">
        <v>0</v>
      </c>
      <c r="B23">
        <v>-6.9171559710565211E-4</v>
      </c>
      <c r="C23">
        <v>-0.87957550866483225</v>
      </c>
      <c r="D23">
        <v>-178.81237693987453</v>
      </c>
      <c r="E23">
        <v>2.7410219999999999E-2</v>
      </c>
      <c r="F23">
        <v>10.08</v>
      </c>
      <c r="G23">
        <v>100</v>
      </c>
      <c r="H23">
        <v>23</v>
      </c>
    </row>
    <row r="24" spans="1:8">
      <c r="A24">
        <v>0</v>
      </c>
      <c r="B24">
        <v>-1.2673031429824922E-3</v>
      </c>
      <c r="C24">
        <v>-0.90186782291558532</v>
      </c>
      <c r="D24">
        <v>-178.22952629123984</v>
      </c>
      <c r="E24">
        <v>2.2299839999999998E-2</v>
      </c>
      <c r="F24">
        <v>12.6</v>
      </c>
      <c r="G24">
        <v>100</v>
      </c>
      <c r="H24">
        <v>24</v>
      </c>
    </row>
    <row r="25" spans="1:8">
      <c r="A25">
        <v>0</v>
      </c>
      <c r="B25">
        <v>-2.1744932267228037E-3</v>
      </c>
      <c r="C25">
        <v>-0.92600876470047</v>
      </c>
      <c r="D25">
        <v>-177.4662740808723</v>
      </c>
      <c r="E25">
        <v>2.4158159999999998E-2</v>
      </c>
      <c r="F25">
        <v>15.120000000000001</v>
      </c>
      <c r="G25">
        <v>100</v>
      </c>
      <c r="H25">
        <v>25</v>
      </c>
    </row>
    <row r="26" spans="1:8">
      <c r="A26">
        <v>0</v>
      </c>
      <c r="B26">
        <v>-5.3760173200630102E-3</v>
      </c>
      <c r="C26">
        <v>-0.978250921723547</v>
      </c>
      <c r="D26">
        <v>-175.52005287875511</v>
      </c>
      <c r="E26">
        <v>5.2342679999999996E-2</v>
      </c>
      <c r="F26">
        <v>17.64</v>
      </c>
      <c r="G26">
        <v>100</v>
      </c>
    </row>
    <row r="27" spans="1:8">
      <c r="A27">
        <v>0</v>
      </c>
      <c r="B27">
        <v>-1.0349913275575056E-2</v>
      </c>
      <c r="C27">
        <v>-1.030354214191181</v>
      </c>
      <c r="D27">
        <v>-173.57383167663795</v>
      </c>
      <c r="E27">
        <v>5.2342679999999996E-2</v>
      </c>
      <c r="F27">
        <v>17.64</v>
      </c>
      <c r="G27">
        <v>100</v>
      </c>
    </row>
    <row r="28" spans="1:8">
      <c r="A28">
        <v>0</v>
      </c>
      <c r="B28">
        <v>-1.5722032259689451E-2</v>
      </c>
      <c r="C28">
        <v>-1.072755240983531</v>
      </c>
      <c r="D28">
        <v>-171.98460962993872</v>
      </c>
      <c r="E28">
        <v>4.2741359999999999E-2</v>
      </c>
      <c r="F28">
        <v>17.64</v>
      </c>
      <c r="G28">
        <v>100</v>
      </c>
      <c r="H28">
        <v>27</v>
      </c>
    </row>
    <row r="29" spans="1:8">
      <c r="A29">
        <v>0</v>
      </c>
      <c r="B29">
        <v>-2.7554638212066142E-2</v>
      </c>
      <c r="C29">
        <v>-1.1444858703700749</v>
      </c>
      <c r="D29">
        <v>-169.28120473528188</v>
      </c>
      <c r="E29">
        <v>7.270676999999999E-2</v>
      </c>
      <c r="F29">
        <v>17.64</v>
      </c>
      <c r="G29">
        <v>100</v>
      </c>
    </row>
    <row r="30" spans="1:8">
      <c r="A30">
        <v>0</v>
      </c>
      <c r="B30">
        <v>-4.2757308676001665E-2</v>
      </c>
      <c r="C30">
        <v>-1.2155785744020564</v>
      </c>
      <c r="D30">
        <v>-166.57779984062503</v>
      </c>
      <c r="E30">
        <v>7.270676999999999E-2</v>
      </c>
      <c r="F30">
        <v>17.64</v>
      </c>
      <c r="G30">
        <v>100</v>
      </c>
    </row>
    <row r="31" spans="1:8">
      <c r="A31">
        <v>0</v>
      </c>
      <c r="B31">
        <v>-6.8638913833931295E-2</v>
      </c>
      <c r="C31">
        <v>-1.310500490504628</v>
      </c>
      <c r="D31">
        <v>-162.91891837577197</v>
      </c>
      <c r="E31">
        <v>9.8403851249999993E-2</v>
      </c>
      <c r="F31">
        <v>17.64</v>
      </c>
      <c r="G31">
        <v>100</v>
      </c>
    </row>
    <row r="32" spans="1:8">
      <c r="A32">
        <v>0</v>
      </c>
      <c r="B32">
        <v>-0.10052531351389625</v>
      </c>
      <c r="C32">
        <v>-1.40357726074073</v>
      </c>
      <c r="D32">
        <v>-159.26003691091893</v>
      </c>
      <c r="E32">
        <v>9.8403851249999993E-2</v>
      </c>
      <c r="F32">
        <v>17.64</v>
      </c>
      <c r="G32">
        <v>100</v>
      </c>
    </row>
    <row r="33" spans="1:7">
      <c r="A33">
        <v>0</v>
      </c>
      <c r="B33">
        <v>-0.13828651790660593</v>
      </c>
      <c r="C33">
        <v>-1.4944294433504319</v>
      </c>
      <c r="D33">
        <v>-155.60115544606586</v>
      </c>
      <c r="E33">
        <v>9.8403851249999993E-2</v>
      </c>
      <c r="F33">
        <v>17.64</v>
      </c>
      <c r="G33">
        <v>100</v>
      </c>
    </row>
    <row r="34" spans="1:7">
      <c r="A34">
        <v>0</v>
      </c>
      <c r="B34">
        <v>-0.18176858765838952</v>
      </c>
      <c r="C34">
        <v>-1.5826866654471852</v>
      </c>
      <c r="D34">
        <v>-151.94227398121279</v>
      </c>
      <c r="E34">
        <v>9.8403851249999993E-2</v>
      </c>
      <c r="F34">
        <v>17.64</v>
      </c>
      <c r="G34">
        <v>100</v>
      </c>
    </row>
    <row r="35" spans="1:7">
      <c r="A35">
        <v>0</v>
      </c>
      <c r="B35">
        <v>-0.2307942614286336</v>
      </c>
      <c r="C35">
        <v>-1.6679891328998224</v>
      </c>
      <c r="D35">
        <v>-148.28339251635973</v>
      </c>
      <c r="E35">
        <v>9.8403851249999993E-2</v>
      </c>
      <c r="F35">
        <v>17.64</v>
      </c>
      <c r="G35">
        <v>100</v>
      </c>
    </row>
    <row r="36" spans="1:7">
      <c r="A36">
        <v>0</v>
      </c>
      <c r="B36">
        <v>-0.28516367852288155</v>
      </c>
      <c r="C36">
        <v>-1.7499890970886336</v>
      </c>
      <c r="D36">
        <v>-144.62451105150666</v>
      </c>
      <c r="E36">
        <v>9.8403851249999993E-2</v>
      </c>
      <c r="F36">
        <v>17.64</v>
      </c>
      <c r="G36">
        <v>100</v>
      </c>
    </row>
    <row r="37" spans="1:7">
      <c r="A37">
        <v>0</v>
      </c>
      <c r="B37">
        <v>-0.34465519365567376</v>
      </c>
      <c r="C37">
        <v>-1.8283522725560646</v>
      </c>
      <c r="D37">
        <v>-140.96562958665362</v>
      </c>
      <c r="E37">
        <v>9.8403851249999993E-2</v>
      </c>
      <c r="F37">
        <v>17.64</v>
      </c>
      <c r="G37">
        <v>100</v>
      </c>
    </row>
    <row r="38" spans="1:7">
      <c r="A38">
        <v>0</v>
      </c>
      <c r="B38">
        <v>-0.40902628052162088</v>
      </c>
      <c r="C38">
        <v>-1.9027591997727644</v>
      </c>
      <c r="D38">
        <v>-137.30674812180055</v>
      </c>
      <c r="E38">
        <v>9.8403851249999993E-2</v>
      </c>
      <c r="F38">
        <v>17.64</v>
      </c>
      <c r="G38">
        <v>100</v>
      </c>
    </row>
    <row r="39" spans="1:7">
      <c r="A39">
        <v>0</v>
      </c>
      <c r="B39">
        <v>-0.47801452049116505</v>
      </c>
      <c r="C39">
        <v>-1.9729065474634593</v>
      </c>
      <c r="D39">
        <v>-133.64786665694749</v>
      </c>
      <c r="E39">
        <v>9.8403851249999993E-2</v>
      </c>
      <c r="F39">
        <v>17.64</v>
      </c>
      <c r="G39">
        <v>100</v>
      </c>
    </row>
    <row r="40" spans="1:7">
      <c r="A40">
        <v>0</v>
      </c>
      <c r="B40">
        <v>-0.5513386724004562</v>
      </c>
      <c r="C40">
        <v>-2.038508349183517</v>
      </c>
      <c r="D40">
        <v>-129.98898519209442</v>
      </c>
      <c r="E40">
        <v>9.8403851249999993E-2</v>
      </c>
      <c r="F40">
        <v>17.64</v>
      </c>
      <c r="G40">
        <v>100</v>
      </c>
    </row>
    <row r="41" spans="1:7">
      <c r="A41">
        <v>0</v>
      </c>
      <c r="B41">
        <v>-0.62869981907418515</v>
      </c>
      <c r="C41">
        <v>-2.0992971691051134</v>
      </c>
      <c r="D41">
        <v>-126.33010372724138</v>
      </c>
      <c r="E41">
        <v>9.8403851249999993E-2</v>
      </c>
      <c r="F41">
        <v>17.64</v>
      </c>
      <c r="G41">
        <v>100</v>
      </c>
    </row>
    <row r="42" spans="1:7">
      <c r="A42">
        <v>0</v>
      </c>
      <c r="B42">
        <v>-0.70978258590739252</v>
      </c>
      <c r="C42">
        <v>-2.1550251922604904</v>
      </c>
      <c r="D42">
        <v>-122.67122226238834</v>
      </c>
      <c r="E42">
        <v>9.8403851249999993E-2</v>
      </c>
      <c r="F42">
        <v>17.64</v>
      </c>
      <c r="G42">
        <v>100</v>
      </c>
    </row>
    <row r="43" spans="1:7">
      <c r="A43">
        <v>0</v>
      </c>
      <c r="B43">
        <v>-0.79425642653851902</v>
      </c>
      <c r="C43">
        <v>-2.2054652347977597</v>
      </c>
      <c r="D43">
        <v>-119.01234079753533</v>
      </c>
      <c r="E43">
        <v>9.8403851249999993E-2</v>
      </c>
      <c r="F43">
        <v>17.64</v>
      </c>
      <c r="G43">
        <v>100</v>
      </c>
    </row>
    <row r="44" spans="1:7">
      <c r="A44">
        <v>0</v>
      </c>
      <c r="B44">
        <v>-0.88177697037245417</v>
      </c>
      <c r="C44">
        <v>-2.250411670130795</v>
      </c>
      <c r="D44">
        <v>-115.35345933268229</v>
      </c>
      <c r="E44">
        <v>9.8403851249999993E-2</v>
      </c>
      <c r="F44">
        <v>17.64</v>
      </c>
      <c r="G44">
        <v>100</v>
      </c>
    </row>
    <row r="45" spans="1:7">
      <c r="A45">
        <v>0</v>
      </c>
      <c r="B45">
        <v>-0.97198742646019753</v>
      </c>
      <c r="C45">
        <v>-2.289681267207615</v>
      </c>
      <c r="D45">
        <v>-111.69457786782925</v>
      </c>
      <c r="E45">
        <v>9.8403851249999993E-2</v>
      </c>
      <c r="F45">
        <v>17.64</v>
      </c>
      <c r="G45">
        <v>100</v>
      </c>
    </row>
    <row r="46" spans="1:7">
      <c r="A46">
        <v>0</v>
      </c>
      <c r="B46">
        <v>-1.0645200380120019</v>
      </c>
      <c r="C46">
        <v>-2.3231139374799303</v>
      </c>
      <c r="D46">
        <v>-108.03569640297621</v>
      </c>
      <c r="E46">
        <v>9.8403851249999993E-2</v>
      </c>
      <c r="F46">
        <v>17.64</v>
      </c>
      <c r="G46">
        <v>100</v>
      </c>
    </row>
    <row r="47" spans="1:7">
      <c r="A47">
        <v>0</v>
      </c>
      <c r="B47">
        <v>-1.1589975816144513</v>
      </c>
      <c r="C47">
        <v>-2.3505733875287156</v>
      </c>
      <c r="D47">
        <v>-104.37681493812318</v>
      </c>
      <c r="E47">
        <v>9.8403851249999993E-2</v>
      </c>
      <c r="F47">
        <v>17.64</v>
      </c>
      <c r="G47">
        <v>100</v>
      </c>
    </row>
    <row r="48" spans="1:7">
      <c r="A48">
        <v>0</v>
      </c>
      <c r="B48">
        <v>-1.2550349050396861</v>
      </c>
      <c r="C48">
        <v>-2.371947674685281</v>
      </c>
      <c r="D48">
        <v>-100.71793347327014</v>
      </c>
      <c r="E48">
        <v>9.8403851249999993E-2</v>
      </c>
      <c r="F48">
        <v>17.64</v>
      </c>
      <c r="G48">
        <v>100</v>
      </c>
    </row>
    <row r="49" spans="1:8">
      <c r="A49">
        <v>0</v>
      </c>
      <c r="B49">
        <v>-1.3522404973776578</v>
      </c>
      <c r="C49">
        <v>-2.3871496633827674</v>
      </c>
      <c r="D49">
        <v>-97.059052008417098</v>
      </c>
      <c r="E49">
        <v>9.8403851249999993E-2</v>
      </c>
      <c r="F49">
        <v>17.64</v>
      </c>
      <c r="G49">
        <v>100</v>
      </c>
    </row>
    <row r="50" spans="1:8">
      <c r="A50">
        <v>0</v>
      </c>
      <c r="B50">
        <v>-1.4502180850905306</v>
      </c>
      <c r="C50">
        <v>-2.3961173803776772</v>
      </c>
      <c r="D50">
        <v>-93.400170543564059</v>
      </c>
      <c r="E50">
        <v>9.8403851249999993E-2</v>
      </c>
      <c r="F50">
        <v>17.64</v>
      </c>
      <c r="G50">
        <v>100</v>
      </c>
    </row>
    <row r="51" spans="1:8">
      <c r="A51">
        <v>0</v>
      </c>
      <c r="B51">
        <v>-1.5485682474826654</v>
      </c>
      <c r="C51">
        <v>-2.3988142673933268</v>
      </c>
      <c r="D51">
        <v>-89.74128907871102</v>
      </c>
      <c r="E51">
        <v>9.8403851249999993E-2</v>
      </c>
      <c r="F51">
        <v>17.64</v>
      </c>
      <c r="G51">
        <v>100</v>
      </c>
    </row>
    <row r="52" spans="1:8">
      <c r="A52">
        <v>0</v>
      </c>
      <c r="B52">
        <v>-1.646890045000478</v>
      </c>
      <c r="C52">
        <v>-2.3952293301552809</v>
      </c>
      <c r="D52">
        <v>-86.082407613857981</v>
      </c>
      <c r="E52">
        <v>9.8403851249999993E-2</v>
      </c>
      <c r="F52">
        <v>17.64</v>
      </c>
      <c r="G52">
        <v>100</v>
      </c>
    </row>
    <row r="53" spans="1:8">
      <c r="A53">
        <v>0</v>
      </c>
      <c r="B53">
        <v>-1.744782653724154</v>
      </c>
      <c r="C53">
        <v>-2.385377183211201</v>
      </c>
      <c r="D53">
        <v>-82.423526149004942</v>
      </c>
      <c r="E53">
        <v>9.8403851249999993E-2</v>
      </c>
      <c r="F53">
        <v>17.64</v>
      </c>
      <c r="G53">
        <v>100</v>
      </c>
    </row>
    <row r="54" spans="1:8">
      <c r="A54">
        <v>0</v>
      </c>
      <c r="B54">
        <v>-1.8418469993879654</v>
      </c>
      <c r="C54">
        <v>-2.3692979903523974</v>
      </c>
      <c r="D54">
        <v>-78.764644684151904</v>
      </c>
      <c r="E54">
        <v>9.8403851249999993E-2</v>
      </c>
      <c r="F54">
        <v>17.64</v>
      </c>
      <c r="G54">
        <v>100</v>
      </c>
    </row>
    <row r="55" spans="1:8">
      <c r="A55">
        <v>0</v>
      </c>
      <c r="B55">
        <v>-1.9376873842678533</v>
      </c>
      <c r="C55">
        <v>-2.3470573008799587</v>
      </c>
      <c r="D55">
        <v>-75.105763219298865</v>
      </c>
      <c r="E55">
        <v>9.8403851249999993E-2</v>
      </c>
      <c r="F55">
        <v>17.64</v>
      </c>
      <c r="G55">
        <v>100</v>
      </c>
    </row>
    <row r="56" spans="1:8">
      <c r="A56">
        <v>0</v>
      </c>
      <c r="B56">
        <v>-2.0319131003040192</v>
      </c>
      <c r="C56">
        <v>-2.3187457823829525</v>
      </c>
      <c r="D56">
        <v>-71.446881754445826</v>
      </c>
      <c r="E56">
        <v>9.8403851249999993E-2</v>
      </c>
      <c r="F56">
        <v>17.64</v>
      </c>
      <c r="G56">
        <v>100</v>
      </c>
    </row>
    <row r="57" spans="1:8">
      <c r="A57">
        <v>0</v>
      </c>
      <c r="B57">
        <v>-2.1241400218823836</v>
      </c>
      <c r="C57">
        <v>-2.2844788511180627</v>
      </c>
      <c r="D57">
        <v>-67.788000289592787</v>
      </c>
      <c r="E57">
        <v>9.8403851249999993E-2</v>
      </c>
      <c r="F57">
        <v>17.64</v>
      </c>
      <c r="G57">
        <v>100</v>
      </c>
    </row>
    <row r="58" spans="1:8">
      <c r="A58">
        <v>0</v>
      </c>
      <c r="B58">
        <v>-2.2139921717816926</v>
      </c>
      <c r="C58">
        <v>-2.2443962014974774</v>
      </c>
      <c r="D58">
        <v>-64.129118824739805</v>
      </c>
      <c r="E58">
        <v>9.8403851249999993E-2</v>
      </c>
      <c r="F58">
        <v>17.64</v>
      </c>
      <c r="G58">
        <v>100</v>
      </c>
    </row>
    <row r="59" spans="1:8">
      <c r="A59">
        <v>0</v>
      </c>
      <c r="B59">
        <v>-2.3011032539024479</v>
      </c>
      <c r="C59">
        <v>-2.1986612366031486</v>
      </c>
      <c r="D59">
        <v>-60.470237359886767</v>
      </c>
      <c r="E59">
        <v>9.8403851249999993E-2</v>
      </c>
      <c r="F59">
        <v>17.64</v>
      </c>
      <c r="G59">
        <v>100</v>
      </c>
    </row>
    <row r="60" spans="1:8">
      <c r="A60">
        <v>0</v>
      </c>
      <c r="B60">
        <v>-2.3851181465292584</v>
      </c>
      <c r="C60">
        <v>-2.1474604020490125</v>
      </c>
      <c r="D60">
        <v>-56.811355895033728</v>
      </c>
      <c r="E60">
        <v>9.8403851249999993E-2</v>
      </c>
      <c r="F60">
        <v>17.64</v>
      </c>
      <c r="G60">
        <v>100</v>
      </c>
    </row>
    <row r="61" spans="1:8">
      <c r="A61">
        <v>0</v>
      </c>
      <c r="B61">
        <v>-2.4656943500390942</v>
      </c>
      <c r="C61">
        <v>-2.0910024259067876</v>
      </c>
      <c r="D61">
        <v>-53.152474430180689</v>
      </c>
      <c r="E61">
        <v>9.8403851249999993E-2</v>
      </c>
      <c r="F61">
        <v>17.64</v>
      </c>
      <c r="G61">
        <v>100</v>
      </c>
    </row>
    <row r="62" spans="1:8">
      <c r="A62">
        <v>0</v>
      </c>
      <c r="B62">
        <v>-2.542503383153643</v>
      </c>
      <c r="C62">
        <v>-2.0295174677939078</v>
      </c>
      <c r="D62">
        <v>-49.49359296532765</v>
      </c>
      <c r="E62">
        <v>9.8403851249999993E-2</v>
      </c>
      <c r="F62">
        <v>17.64</v>
      </c>
      <c r="G62">
        <v>100</v>
      </c>
      <c r="H62">
        <v>29</v>
      </c>
    </row>
    <row r="63" spans="1:8">
      <c r="A63">
        <v>0</v>
      </c>
      <c r="B63">
        <v>-2.6408206423361209</v>
      </c>
      <c r="C63">
        <v>-1.9455275798760434</v>
      </c>
      <c r="D63">
        <v>-49.49359296532765</v>
      </c>
      <c r="E63">
        <v>0.12930809999999998</v>
      </c>
      <c r="F63">
        <v>0</v>
      </c>
      <c r="G63">
        <v>100</v>
      </c>
    </row>
    <row r="64" spans="1:8">
      <c r="A64">
        <v>0</v>
      </c>
      <c r="B64">
        <v>-2.7418460415918888</v>
      </c>
      <c r="C64">
        <v>-1.8592241980394832</v>
      </c>
      <c r="D64">
        <v>-49.49359296532765</v>
      </c>
      <c r="E64">
        <v>0.13286988</v>
      </c>
      <c r="F64">
        <v>0</v>
      </c>
      <c r="G64">
        <v>100</v>
      </c>
      <c r="H64">
        <v>31</v>
      </c>
    </row>
    <row r="65" spans="1:7">
      <c r="A65">
        <v>0</v>
      </c>
      <c r="B65">
        <v>-2.7791712765150569</v>
      </c>
      <c r="C65">
        <v>-1.8273382166383298</v>
      </c>
      <c r="D65">
        <v>-49.49359296532765</v>
      </c>
      <c r="E65">
        <v>4.9090619999999995E-2</v>
      </c>
      <c r="F65">
        <v>0</v>
      </c>
      <c r="G65">
        <v>100</v>
      </c>
    </row>
    <row r="66" spans="1:7">
      <c r="A66">
        <v>0</v>
      </c>
      <c r="B66">
        <v>-3.1261664415578863</v>
      </c>
      <c r="C66">
        <v>-1.5309092349689324</v>
      </c>
      <c r="D66">
        <v>-49.49359296532765</v>
      </c>
      <c r="E66">
        <v>0.45637242</v>
      </c>
      <c r="F66">
        <v>0</v>
      </c>
      <c r="G66">
        <v>100</v>
      </c>
    </row>
    <row r="67" spans="1:7">
      <c r="A67">
        <v>0</v>
      </c>
      <c r="B67">
        <v>-3.1261664415578863</v>
      </c>
      <c r="C67">
        <v>-1.5309092349689324</v>
      </c>
      <c r="D67">
        <v>-49.49359296532765</v>
      </c>
      <c r="E67">
        <v>0</v>
      </c>
      <c r="F67">
        <v>0</v>
      </c>
      <c r="G67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B999-A3DD-41BC-B4A2-543FD45C7576}">
  <sheetPr codeName="Sheet16"/>
  <dimension ref="B1:C151"/>
  <sheetViews>
    <sheetView topLeftCell="A3" workbookViewId="0">
      <selection activeCell="C18" sqref="C18"/>
    </sheetView>
  </sheetViews>
  <sheetFormatPr defaultRowHeight="14.5"/>
  <cols>
    <col min="2" max="2" width="36.54296875" customWidth="1"/>
    <col min="3" max="3" width="12.54296875" customWidth="1"/>
  </cols>
  <sheetData>
    <row r="1" spans="2:3" ht="18.5">
      <c r="B1" s="15" t="s">
        <v>112</v>
      </c>
    </row>
    <row r="3" spans="2:3">
      <c r="B3" s="23" t="s">
        <v>113</v>
      </c>
      <c r="C3" s="26" t="s">
        <v>114</v>
      </c>
    </row>
    <row r="5" spans="2:3">
      <c r="B5" s="27" t="s">
        <v>115</v>
      </c>
    </row>
    <row r="6" spans="2:3">
      <c r="B6" t="s">
        <v>116</v>
      </c>
      <c r="C6">
        <v>-4800</v>
      </c>
    </row>
    <row r="7" spans="2:3">
      <c r="B7" t="s">
        <v>117</v>
      </c>
      <c r="C7">
        <v>-4020</v>
      </c>
    </row>
    <row r="8" spans="2:3">
      <c r="B8" t="s">
        <v>118</v>
      </c>
      <c r="C8">
        <v>-3240</v>
      </c>
    </row>
    <row r="9" spans="2:3">
      <c r="B9" t="s">
        <v>119</v>
      </c>
      <c r="C9">
        <v>-2520</v>
      </c>
    </row>
    <row r="10" spans="2:3">
      <c r="B10" t="s">
        <v>120</v>
      </c>
      <c r="C10">
        <v>-1920</v>
      </c>
    </row>
    <row r="11" spans="2:3">
      <c r="B11" t="s">
        <v>121</v>
      </c>
      <c r="C11">
        <v>-1440</v>
      </c>
    </row>
    <row r="12" spans="2:3">
      <c r="B12" t="s">
        <v>122</v>
      </c>
      <c r="C12">
        <v>-1020</v>
      </c>
    </row>
    <row r="13" spans="2:3">
      <c r="B13" t="s">
        <v>123</v>
      </c>
      <c r="C13">
        <v>-840</v>
      </c>
    </row>
    <row r="14" spans="2:3">
      <c r="B14" t="s">
        <v>124</v>
      </c>
      <c r="C14">
        <v>-660</v>
      </c>
    </row>
    <row r="15" spans="2:3">
      <c r="B15" t="s">
        <v>125</v>
      </c>
      <c r="C15">
        <v>-480</v>
      </c>
    </row>
    <row r="16" spans="2:3">
      <c r="B16" t="s">
        <v>126</v>
      </c>
      <c r="C16">
        <v>-300</v>
      </c>
    </row>
    <row r="17" spans="2:3">
      <c r="B17" t="s">
        <v>127</v>
      </c>
      <c r="C17">
        <v>-120</v>
      </c>
    </row>
    <row r="18" spans="2:3">
      <c r="B18" t="s">
        <v>128</v>
      </c>
      <c r="C18">
        <v>60</v>
      </c>
    </row>
    <row r="19" spans="2:3">
      <c r="B19" t="s">
        <v>129</v>
      </c>
      <c r="C19">
        <v>240</v>
      </c>
    </row>
    <row r="20" spans="2:3">
      <c r="B20" t="s">
        <v>130</v>
      </c>
      <c r="C20">
        <v>360</v>
      </c>
    </row>
    <row r="21" spans="2:3">
      <c r="B21" t="s">
        <v>131</v>
      </c>
      <c r="C21">
        <v>540</v>
      </c>
    </row>
    <row r="22" spans="2:3">
      <c r="B22" t="s">
        <v>132</v>
      </c>
      <c r="C22">
        <v>660</v>
      </c>
    </row>
    <row r="23" spans="2:3">
      <c r="B23" t="s">
        <v>133</v>
      </c>
      <c r="C23">
        <v>720</v>
      </c>
    </row>
    <row r="24" spans="2:3">
      <c r="B24" t="s">
        <v>134</v>
      </c>
      <c r="C24">
        <v>780</v>
      </c>
    </row>
    <row r="25" spans="2:3">
      <c r="B25" t="s">
        <v>135</v>
      </c>
      <c r="C25">
        <v>900</v>
      </c>
    </row>
    <row r="26" spans="2:3">
      <c r="B26" t="s">
        <v>136</v>
      </c>
      <c r="C26">
        <v>1020</v>
      </c>
    </row>
    <row r="27" spans="2:3">
      <c r="B27" t="s">
        <v>137</v>
      </c>
      <c r="C27">
        <v>1080</v>
      </c>
    </row>
    <row r="28" spans="2:3">
      <c r="B28" t="s">
        <v>138</v>
      </c>
      <c r="C28">
        <v>1140</v>
      </c>
    </row>
    <row r="29" spans="2:3">
      <c r="B29" t="s">
        <v>139</v>
      </c>
      <c r="C29">
        <v>1260</v>
      </c>
    </row>
    <row r="30" spans="2:3">
      <c r="B30" t="s">
        <v>140</v>
      </c>
      <c r="C30">
        <v>1380</v>
      </c>
    </row>
    <row r="31" spans="2:3">
      <c r="B31" t="s">
        <v>141</v>
      </c>
      <c r="C31">
        <v>1440</v>
      </c>
    </row>
    <row r="32" spans="2:3">
      <c r="B32" t="s">
        <v>142</v>
      </c>
      <c r="C32">
        <v>1500</v>
      </c>
    </row>
    <row r="33" spans="2:3">
      <c r="B33" t="s">
        <v>143</v>
      </c>
      <c r="C33">
        <v>1560</v>
      </c>
    </row>
    <row r="34" spans="2:3">
      <c r="B34" t="s">
        <v>144</v>
      </c>
      <c r="C34">
        <v>1620</v>
      </c>
    </row>
    <row r="35" spans="2:3">
      <c r="B35" t="s">
        <v>145</v>
      </c>
      <c r="C35">
        <v>1680</v>
      </c>
    </row>
    <row r="36" spans="2:3">
      <c r="B36" t="s">
        <v>146</v>
      </c>
      <c r="C36">
        <v>1800</v>
      </c>
    </row>
    <row r="37" spans="2:3">
      <c r="B37" t="s">
        <v>147</v>
      </c>
      <c r="C37">
        <v>1860</v>
      </c>
    </row>
    <row r="38" spans="2:3">
      <c r="B38" t="s">
        <v>148</v>
      </c>
      <c r="C38">
        <v>1920</v>
      </c>
    </row>
    <row r="39" spans="2:3">
      <c r="B39" t="s">
        <v>149</v>
      </c>
      <c r="C39">
        <v>1980</v>
      </c>
    </row>
    <row r="40" spans="2:3">
      <c r="B40" t="s">
        <v>150</v>
      </c>
      <c r="C40">
        <v>2040</v>
      </c>
    </row>
    <row r="41" spans="2:3">
      <c r="B41" t="s">
        <v>151</v>
      </c>
      <c r="C41">
        <v>2100</v>
      </c>
    </row>
    <row r="42" spans="2:3">
      <c r="B42" t="s">
        <v>152</v>
      </c>
      <c r="C42">
        <v>2160</v>
      </c>
    </row>
    <row r="43" spans="2:3">
      <c r="B43" t="s">
        <v>153</v>
      </c>
      <c r="C43">
        <v>2220</v>
      </c>
    </row>
    <row r="44" spans="2:3">
      <c r="B44" t="s">
        <v>154</v>
      </c>
      <c r="C44">
        <v>2280</v>
      </c>
    </row>
    <row r="45" spans="2:3">
      <c r="B45" t="s">
        <v>155</v>
      </c>
      <c r="C45">
        <v>2340</v>
      </c>
    </row>
    <row r="46" spans="2:3">
      <c r="B46" t="s">
        <v>156</v>
      </c>
      <c r="C46">
        <v>2460</v>
      </c>
    </row>
    <row r="47" spans="2:3">
      <c r="B47" t="s">
        <v>157</v>
      </c>
      <c r="C47">
        <v>2520</v>
      </c>
    </row>
    <row r="48" spans="2:3">
      <c r="B48" t="s">
        <v>158</v>
      </c>
      <c r="C48">
        <v>2580</v>
      </c>
    </row>
    <row r="49" spans="2:3">
      <c r="B49" t="s">
        <v>159</v>
      </c>
      <c r="C49">
        <v>2640</v>
      </c>
    </row>
    <row r="50" spans="2:3">
      <c r="B50" t="s">
        <v>160</v>
      </c>
      <c r="C50">
        <v>2760</v>
      </c>
    </row>
    <row r="51" spans="2:3">
      <c r="B51" t="s">
        <v>161</v>
      </c>
      <c r="C51">
        <v>2820</v>
      </c>
    </row>
    <row r="52" spans="2:3">
      <c r="B52" t="s">
        <v>162</v>
      </c>
      <c r="C52">
        <v>2940</v>
      </c>
    </row>
    <row r="53" spans="2:3">
      <c r="B53" t="s">
        <v>163</v>
      </c>
      <c r="C53">
        <v>3000</v>
      </c>
    </row>
    <row r="54" spans="2:3">
      <c r="B54" t="s">
        <v>164</v>
      </c>
      <c r="C54">
        <v>3120</v>
      </c>
    </row>
    <row r="55" spans="2:3">
      <c r="B55" t="s">
        <v>165</v>
      </c>
      <c r="C55">
        <v>3180</v>
      </c>
    </row>
    <row r="56" spans="2:3">
      <c r="B56" t="s">
        <v>166</v>
      </c>
      <c r="C56">
        <v>3300</v>
      </c>
    </row>
    <row r="58" spans="2:3">
      <c r="B58" s="27" t="s">
        <v>167</v>
      </c>
    </row>
    <row r="59" spans="2:3">
      <c r="B59" t="s">
        <v>168</v>
      </c>
      <c r="C59">
        <v>3360</v>
      </c>
    </row>
    <row r="60" spans="2:3">
      <c r="B60" t="s">
        <v>169</v>
      </c>
      <c r="C60">
        <v>3420</v>
      </c>
    </row>
    <row r="61" spans="2:3">
      <c r="B61" t="s">
        <v>170</v>
      </c>
      <c r="C61">
        <v>3480</v>
      </c>
    </row>
    <row r="62" spans="2:3">
      <c r="B62" t="s">
        <v>171</v>
      </c>
      <c r="C62">
        <v>3540</v>
      </c>
    </row>
    <row r="63" spans="2:3">
      <c r="B63" t="s">
        <v>172</v>
      </c>
      <c r="C63">
        <v>3600</v>
      </c>
    </row>
    <row r="64" spans="2:3">
      <c r="B64" t="s">
        <v>173</v>
      </c>
      <c r="C64">
        <v>3660</v>
      </c>
    </row>
    <row r="65" spans="2:3">
      <c r="B65" t="s">
        <v>174</v>
      </c>
      <c r="C65">
        <v>3720</v>
      </c>
    </row>
    <row r="66" spans="2:3">
      <c r="B66" t="s">
        <v>175</v>
      </c>
      <c r="C66">
        <v>3840</v>
      </c>
    </row>
    <row r="67" spans="2:3">
      <c r="B67" t="s">
        <v>176</v>
      </c>
      <c r="C67">
        <v>3960</v>
      </c>
    </row>
    <row r="68" spans="2:3">
      <c r="B68" t="s">
        <v>177</v>
      </c>
      <c r="C68">
        <v>4080</v>
      </c>
    </row>
    <row r="69" spans="2:3">
      <c r="B69" t="s">
        <v>178</v>
      </c>
      <c r="C69">
        <v>4260</v>
      </c>
    </row>
    <row r="70" spans="2:3">
      <c r="B70" t="s">
        <v>179</v>
      </c>
      <c r="C70">
        <v>4440</v>
      </c>
    </row>
    <row r="73" spans="2:3">
      <c r="B73" s="27" t="s">
        <v>188</v>
      </c>
    </row>
    <row r="74" spans="2:3">
      <c r="B74" t="s">
        <v>179</v>
      </c>
      <c r="C74">
        <v>-5940</v>
      </c>
    </row>
    <row r="75" spans="2:3">
      <c r="B75" t="s">
        <v>178</v>
      </c>
      <c r="C75">
        <v>-5760</v>
      </c>
    </row>
    <row r="76" spans="2:3">
      <c r="B76" t="s">
        <v>177</v>
      </c>
      <c r="C76">
        <v>-5580</v>
      </c>
    </row>
    <row r="77" spans="2:3">
      <c r="B77" t="s">
        <v>176</v>
      </c>
      <c r="C77">
        <v>-5460</v>
      </c>
    </row>
    <row r="78" spans="2:3">
      <c r="B78" t="s">
        <v>175</v>
      </c>
      <c r="C78">
        <v>-5340</v>
      </c>
    </row>
    <row r="79" spans="2:3">
      <c r="B79" t="s">
        <v>174</v>
      </c>
      <c r="C79">
        <v>-5220</v>
      </c>
    </row>
    <row r="80" spans="2:3">
      <c r="B80" t="s">
        <v>173</v>
      </c>
      <c r="C80">
        <v>-5160</v>
      </c>
    </row>
    <row r="81" spans="2:3">
      <c r="B81" t="s">
        <v>189</v>
      </c>
      <c r="C81">
        <v>-5100</v>
      </c>
    </row>
    <row r="82" spans="2:3">
      <c r="B82" t="s">
        <v>171</v>
      </c>
      <c r="C82">
        <v>-5040</v>
      </c>
    </row>
    <row r="83" spans="2:3">
      <c r="B83" t="s">
        <v>170</v>
      </c>
      <c r="C83">
        <v>-4980</v>
      </c>
    </row>
    <row r="84" spans="2:3">
      <c r="B84" t="s">
        <v>169</v>
      </c>
      <c r="C84">
        <v>-4920</v>
      </c>
    </row>
    <row r="85" spans="2:3">
      <c r="B85" t="s">
        <v>168</v>
      </c>
      <c r="C85">
        <v>-4860</v>
      </c>
    </row>
    <row r="86" spans="2:3">
      <c r="B86" t="s">
        <v>190</v>
      </c>
      <c r="C86">
        <v>-4800</v>
      </c>
    </row>
    <row r="87" spans="2:3">
      <c r="B87" t="s">
        <v>190</v>
      </c>
      <c r="C87">
        <v>-4440</v>
      </c>
    </row>
    <row r="89" spans="2:3">
      <c r="B89" s="27" t="s">
        <v>191</v>
      </c>
    </row>
    <row r="90" spans="2:3">
      <c r="B90" t="s">
        <v>165</v>
      </c>
      <c r="C90">
        <v>-4380</v>
      </c>
    </row>
    <row r="91" spans="2:3">
      <c r="B91" t="s">
        <v>164</v>
      </c>
      <c r="C91">
        <v>-4320</v>
      </c>
    </row>
    <row r="92" spans="2:3">
      <c r="B92" t="s">
        <v>163</v>
      </c>
      <c r="C92">
        <v>-4260</v>
      </c>
    </row>
    <row r="93" spans="2:3">
      <c r="B93" t="s">
        <v>162</v>
      </c>
      <c r="C93">
        <v>-4140</v>
      </c>
    </row>
    <row r="94" spans="2:3">
      <c r="B94" t="s">
        <v>161</v>
      </c>
      <c r="C94">
        <v>-4020</v>
      </c>
    </row>
    <row r="95" spans="2:3">
      <c r="B95" t="s">
        <v>160</v>
      </c>
      <c r="C95">
        <v>-3960</v>
      </c>
    </row>
    <row r="96" spans="2:3">
      <c r="B96" t="s">
        <v>159</v>
      </c>
      <c r="C96">
        <v>-3840</v>
      </c>
    </row>
    <row r="97" spans="2:3">
      <c r="B97" t="s">
        <v>192</v>
      </c>
      <c r="C97">
        <v>-3780</v>
      </c>
    </row>
    <row r="98" spans="2:3">
      <c r="B98" t="s">
        <v>157</v>
      </c>
      <c r="C98">
        <v>-3720</v>
      </c>
    </row>
    <row r="99" spans="2:3">
      <c r="B99" t="s">
        <v>156</v>
      </c>
      <c r="C99">
        <v>-3600</v>
      </c>
    </row>
    <row r="100" spans="2:3">
      <c r="B100" t="s">
        <v>155</v>
      </c>
      <c r="C100">
        <v>-3540</v>
      </c>
    </row>
    <row r="101" spans="2:3">
      <c r="B101" t="s">
        <v>154</v>
      </c>
      <c r="C101">
        <v>-3480</v>
      </c>
    </row>
    <row r="102" spans="2:3">
      <c r="B102" t="s">
        <v>153</v>
      </c>
      <c r="C102">
        <v>-3420</v>
      </c>
    </row>
    <row r="103" spans="2:3">
      <c r="B103" t="s">
        <v>152</v>
      </c>
      <c r="C103">
        <v>-3300</v>
      </c>
    </row>
    <row r="104" spans="2:3">
      <c r="B104" t="s">
        <v>151</v>
      </c>
      <c r="C104">
        <v>-3180</v>
      </c>
    </row>
    <row r="105" spans="2:3">
      <c r="B105" t="s">
        <v>150</v>
      </c>
      <c r="C105">
        <v>-3060</v>
      </c>
    </row>
    <row r="106" spans="2:3">
      <c r="B106" t="s">
        <v>148</v>
      </c>
      <c r="C106">
        <v>-3000</v>
      </c>
    </row>
    <row r="107" spans="2:3">
      <c r="B107" t="s">
        <v>147</v>
      </c>
      <c r="C107">
        <v>-2880</v>
      </c>
    </row>
    <row r="108" spans="2:3">
      <c r="B108" t="s">
        <v>146</v>
      </c>
      <c r="C108">
        <v>-2820</v>
      </c>
    </row>
    <row r="109" spans="2:3">
      <c r="B109" t="s">
        <v>145</v>
      </c>
      <c r="C109">
        <v>-2700</v>
      </c>
    </row>
    <row r="110" spans="2:3">
      <c r="B110" t="s">
        <v>144</v>
      </c>
      <c r="C110">
        <v>-2640</v>
      </c>
    </row>
    <row r="111" spans="2:3">
      <c r="B111" t="s">
        <v>143</v>
      </c>
      <c r="C111">
        <v>-2520</v>
      </c>
    </row>
    <row r="112" spans="2:3">
      <c r="B112" t="s">
        <v>142</v>
      </c>
      <c r="C112">
        <v>-2460</v>
      </c>
    </row>
    <row r="113" spans="2:3">
      <c r="B113" t="s">
        <v>141</v>
      </c>
      <c r="C113">
        <v>-2400</v>
      </c>
    </row>
    <row r="114" spans="2:3">
      <c r="B114" t="s">
        <v>140</v>
      </c>
      <c r="C114">
        <v>-2340</v>
      </c>
    </row>
    <row r="115" spans="2:3">
      <c r="B115" t="s">
        <v>139</v>
      </c>
      <c r="C115">
        <v>-2280</v>
      </c>
    </row>
    <row r="116" spans="2:3">
      <c r="B116" t="s">
        <v>138</v>
      </c>
      <c r="C116">
        <v>-2220</v>
      </c>
    </row>
    <row r="117" spans="2:3">
      <c r="B117" t="s">
        <v>137</v>
      </c>
      <c r="C117">
        <v>-2160</v>
      </c>
    </row>
    <row r="118" spans="2:3">
      <c r="B118" t="s">
        <v>136</v>
      </c>
      <c r="C118">
        <v>-2100</v>
      </c>
    </row>
    <row r="119" spans="2:3">
      <c r="B119" t="s">
        <v>135</v>
      </c>
      <c r="C119">
        <v>-2040</v>
      </c>
    </row>
    <row r="120" spans="2:3">
      <c r="B120" t="s">
        <v>134</v>
      </c>
      <c r="C120">
        <v>-1980</v>
      </c>
    </row>
    <row r="121" spans="2:3">
      <c r="B121" t="s">
        <v>133</v>
      </c>
      <c r="C121">
        <v>-1860</v>
      </c>
    </row>
    <row r="122" spans="2:3">
      <c r="B122" t="s">
        <v>132</v>
      </c>
      <c r="C122">
        <v>-1800</v>
      </c>
    </row>
    <row r="123" spans="2:3">
      <c r="B123" t="s">
        <v>131</v>
      </c>
      <c r="C123">
        <v>-1740</v>
      </c>
    </row>
    <row r="124" spans="2:3">
      <c r="B124" t="s">
        <v>130</v>
      </c>
      <c r="C124">
        <v>-1620</v>
      </c>
    </row>
    <row r="125" spans="2:3">
      <c r="B125" t="s">
        <v>129</v>
      </c>
      <c r="C125">
        <v>-1560</v>
      </c>
    </row>
    <row r="126" spans="2:3">
      <c r="B126" t="s">
        <v>128</v>
      </c>
      <c r="C126">
        <v>-1440</v>
      </c>
    </row>
    <row r="127" spans="2:3">
      <c r="B127" t="s">
        <v>127</v>
      </c>
      <c r="C127">
        <v>-1320</v>
      </c>
    </row>
    <row r="128" spans="2:3">
      <c r="B128" t="s">
        <v>126</v>
      </c>
      <c r="C128">
        <v>-1200</v>
      </c>
    </row>
    <row r="129" spans="2:3">
      <c r="B129" t="s">
        <v>125</v>
      </c>
      <c r="C129">
        <v>-1080</v>
      </c>
    </row>
    <row r="130" spans="2:3">
      <c r="B130" t="s">
        <v>124</v>
      </c>
      <c r="C130">
        <v>-960</v>
      </c>
    </row>
    <row r="131" spans="2:3">
      <c r="B131" t="s">
        <v>123</v>
      </c>
      <c r="C131">
        <v>-780</v>
      </c>
    </row>
    <row r="132" spans="2:3">
      <c r="B132" t="s">
        <v>122</v>
      </c>
      <c r="C132">
        <v>-660</v>
      </c>
    </row>
    <row r="133" spans="2:3">
      <c r="B133" t="s">
        <v>121</v>
      </c>
      <c r="C133">
        <v>-540</v>
      </c>
    </row>
    <row r="134" spans="2:3">
      <c r="B134" t="s">
        <v>120</v>
      </c>
      <c r="C134">
        <v>-420</v>
      </c>
    </row>
    <row r="135" spans="2:3">
      <c r="B135" t="s">
        <v>119</v>
      </c>
      <c r="C135">
        <v>-300</v>
      </c>
    </row>
    <row r="136" spans="2:3">
      <c r="B136" t="s">
        <v>118</v>
      </c>
      <c r="C136">
        <v>-180</v>
      </c>
    </row>
    <row r="137" spans="2:3">
      <c r="B137" t="s">
        <v>117</v>
      </c>
      <c r="C137">
        <v>-60</v>
      </c>
    </row>
    <row r="138" spans="2:3">
      <c r="B138" t="s">
        <v>116</v>
      </c>
      <c r="C138">
        <v>60</v>
      </c>
    </row>
    <row r="141" spans="2:3">
      <c r="B141" s="27" t="s">
        <v>180</v>
      </c>
    </row>
    <row r="142" spans="2:3">
      <c r="B142" t="s">
        <v>181</v>
      </c>
      <c r="C142">
        <v>20</v>
      </c>
    </row>
    <row r="143" spans="2:3">
      <c r="B143" t="s">
        <v>182</v>
      </c>
      <c r="C143">
        <v>1600</v>
      </c>
    </row>
    <row r="144" spans="2:3">
      <c r="B144" t="s">
        <v>183</v>
      </c>
      <c r="C144">
        <v>100</v>
      </c>
    </row>
    <row r="146" spans="2:3">
      <c r="B146" s="27" t="s">
        <v>193</v>
      </c>
    </row>
    <row r="147" spans="2:3">
      <c r="B147" t="s">
        <v>194</v>
      </c>
      <c r="C147" s="29" t="s">
        <v>28</v>
      </c>
    </row>
    <row r="148" spans="2:3">
      <c r="B148" t="s">
        <v>184</v>
      </c>
      <c r="C148" s="28">
        <v>-4140</v>
      </c>
    </row>
    <row r="149" spans="2:3">
      <c r="B149" t="s">
        <v>185</v>
      </c>
      <c r="C149" t="str">
        <f>FormulaTv($C$148,dataActiveBranch,$C$147)</f>
        <v>8</v>
      </c>
    </row>
    <row r="150" spans="2:3">
      <c r="B150" t="s">
        <v>31</v>
      </c>
      <c r="C150">
        <f>FormulaISO($C$148,dataActiveBranch,$C$147)</f>
        <v>100</v>
      </c>
    </row>
    <row r="151" spans="2:3">
      <c r="B151" t="s">
        <v>186</v>
      </c>
      <c r="C151" t="str">
        <f>dataActiveBranch</f>
        <v>default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F65EB-2A9F-4EA2-9389-A4A627F11869}">
  <sheetPr codeName="Sheet10"/>
  <dimension ref="B1:H50"/>
  <sheetViews>
    <sheetView workbookViewId="0">
      <selection activeCell="G23" sqref="G23"/>
    </sheetView>
  </sheetViews>
  <sheetFormatPr defaultRowHeight="14.5"/>
  <cols>
    <col min="2" max="2" width="38.6328125" customWidth="1"/>
    <col min="3" max="3" width="14.6328125" customWidth="1"/>
    <col min="4" max="5" width="12.6328125" customWidth="1"/>
    <col min="6" max="8" width="10.6328125" customWidth="1"/>
  </cols>
  <sheetData>
    <row r="1" spans="2:4" ht="18.5">
      <c r="B1" s="15" t="s">
        <v>197</v>
      </c>
    </row>
    <row r="3" spans="2:4">
      <c r="B3" s="27" t="s">
        <v>198</v>
      </c>
    </row>
    <row r="4" spans="2:4">
      <c r="B4" t="s">
        <v>199</v>
      </c>
      <c r="C4" s="9">
        <v>46174.757638888892</v>
      </c>
    </row>
    <row r="5" spans="2:4">
      <c r="B5" t="s">
        <v>200</v>
      </c>
      <c r="C5" t="s">
        <v>201</v>
      </c>
    </row>
    <row r="6" spans="2:4">
      <c r="B6" t="s">
        <v>202</v>
      </c>
    </row>
    <row r="7" spans="2:4">
      <c r="B7" t="s">
        <v>203</v>
      </c>
      <c r="C7" s="29">
        <v>32</v>
      </c>
    </row>
    <row r="8" spans="2:4">
      <c r="B8" t="s">
        <v>204</v>
      </c>
      <c r="C8" s="28" t="s">
        <v>205</v>
      </c>
    </row>
    <row r="9" spans="2:4">
      <c r="B9" t="s">
        <v>71</v>
      </c>
    </row>
    <row r="11" spans="2:4">
      <c r="B11" s="27" t="s">
        <v>206</v>
      </c>
      <c r="C11" s="23" t="s">
        <v>207</v>
      </c>
      <c r="D11" s="23" t="s">
        <v>208</v>
      </c>
    </row>
    <row r="12" spans="2:4">
      <c r="B12" t="s">
        <v>209</v>
      </c>
      <c r="C12" s="30"/>
      <c r="D12" s="29"/>
    </row>
    <row r="13" spans="2:4">
      <c r="B13" t="s">
        <v>210</v>
      </c>
      <c r="C13" s="30"/>
      <c r="D13" s="29"/>
    </row>
    <row r="14" spans="2:4">
      <c r="B14" t="s">
        <v>211</v>
      </c>
      <c r="C14" s="30"/>
      <c r="D14" s="29"/>
    </row>
    <row r="15" spans="2:4">
      <c r="B15" t="s">
        <v>212</v>
      </c>
      <c r="C15" s="30"/>
      <c r="D15" s="29"/>
    </row>
    <row r="16" spans="2:4">
      <c r="B16" t="s">
        <v>213</v>
      </c>
      <c r="C16" s="30"/>
      <c r="D16" s="29"/>
    </row>
    <row r="17" spans="2:4">
      <c r="B17" t="s">
        <v>214</v>
      </c>
      <c r="C17" s="30"/>
      <c r="D17" s="29"/>
    </row>
    <row r="18" spans="2:4">
      <c r="B18" t="s">
        <v>215</v>
      </c>
      <c r="C18" s="30"/>
      <c r="D18" s="29"/>
    </row>
    <row r="19" spans="2:4">
      <c r="B19" t="s">
        <v>216</v>
      </c>
      <c r="C19" s="31"/>
      <c r="D19" s="28"/>
    </row>
    <row r="22" spans="2:4">
      <c r="B22" s="27" t="s">
        <v>217</v>
      </c>
    </row>
    <row r="23" spans="2:4">
      <c r="B23" t="s">
        <v>218</v>
      </c>
      <c r="C23" t="str">
        <f>FitCircle($C$12:$C$19,$D$12:$D$19,"cx")</f>
        <v>#DEGENERATE</v>
      </c>
    </row>
    <row r="24" spans="2:4">
      <c r="B24" t="s">
        <v>219</v>
      </c>
      <c r="C24" t="str">
        <f>FitCircle($C$12:$C$19,$D$12:$D$19,"cy")</f>
        <v>#DEGENERATE</v>
      </c>
    </row>
    <row r="25" spans="2:4">
      <c r="B25" t="s">
        <v>220</v>
      </c>
      <c r="C25" t="str">
        <f>FitCircle($C$12:$C$19,$D$12:$D$19,"r")</f>
        <v>#DEGENERATE</v>
      </c>
    </row>
    <row r="26" spans="2:4">
      <c r="B26" t="s">
        <v>221</v>
      </c>
      <c r="C26" t="e">
        <f>2*$C$25</f>
        <v>#VALUE!</v>
      </c>
    </row>
    <row r="27" spans="2:4">
      <c r="B27" t="s">
        <v>222</v>
      </c>
      <c r="C27" t="str">
        <f>FitCircle($C$12:$C$19,$D$12:$D$19,"scatter_mm")</f>
        <v>#DEGENERATE</v>
      </c>
    </row>
    <row r="28" spans="2:4">
      <c r="B28" t="s">
        <v>223</v>
      </c>
      <c r="C28" t="e">
        <f>SQRT($C$23^2+$C$24^2)</f>
        <v>#VALUE!</v>
      </c>
    </row>
    <row r="30" spans="2:4">
      <c r="B30" t="s">
        <v>224</v>
      </c>
      <c r="C30" t="e">
        <f>DEGREES(ATAN(490/$C$25))</f>
        <v>#VALUE!</v>
      </c>
    </row>
    <row r="31" spans="2:4">
      <c r="B31" t="s">
        <v>225</v>
      </c>
      <c r="C31" t="e">
        <f>$C$30/ABS($C$7)</f>
        <v>#VALUE!</v>
      </c>
    </row>
    <row r="32" spans="2:4">
      <c r="B32" t="s">
        <v>226</v>
      </c>
      <c r="C32">
        <v>0.35</v>
      </c>
    </row>
    <row r="35" spans="2:8">
      <c r="B35" s="27" t="s">
        <v>227</v>
      </c>
    </row>
    <row r="36" spans="2:8">
      <c r="B36" t="s">
        <v>228</v>
      </c>
    </row>
    <row r="38" spans="2:8">
      <c r="B38" s="23" t="s">
        <v>229</v>
      </c>
      <c r="C38" s="23" t="s">
        <v>230</v>
      </c>
      <c r="D38" s="23" t="s">
        <v>231</v>
      </c>
      <c r="E38" s="23" t="s">
        <v>232</v>
      </c>
      <c r="F38" s="23" t="s">
        <v>233</v>
      </c>
      <c r="G38" s="23" t="s">
        <v>234</v>
      </c>
      <c r="H38" s="23" t="s">
        <v>235</v>
      </c>
    </row>
    <row r="39" spans="2:8">
      <c r="B39" t="s">
        <v>236</v>
      </c>
      <c r="C39" s="29"/>
      <c r="D39" t="str">
        <f>IFERROR(TraceAtLogRow($C$39,"x_mm"),"")</f>
        <v/>
      </c>
      <c r="E39" t="str">
        <f>IFERROR(TraceAtLogRow($C$39,"y_mm"),"")</f>
        <v/>
      </c>
      <c r="F39" t="str">
        <f>IFERROR($C$12-$D$39,"")</f>
        <v/>
      </c>
      <c r="G39" t="str">
        <f>IFERROR($D$12-$E$39,"")</f>
        <v/>
      </c>
      <c r="H39" t="str">
        <f>IFERROR(SQRT($F$39^2+$G$39^2),"")</f>
        <v/>
      </c>
    </row>
    <row r="40" spans="2:8">
      <c r="B40" t="s">
        <v>237</v>
      </c>
      <c r="C40" s="29"/>
      <c r="D40" t="str">
        <f>IFERROR(TraceAtLogRow($C$40,"x_mm"),"")</f>
        <v/>
      </c>
      <c r="E40" t="str">
        <f>IFERROR(TraceAtLogRow($C$40,"y_mm"),"")</f>
        <v/>
      </c>
      <c r="F40" t="str">
        <f>IFERROR($C$13-$D$40,"")</f>
        <v/>
      </c>
      <c r="G40" t="str">
        <f>IFERROR($D$13-$E$40,"")</f>
        <v/>
      </c>
      <c r="H40" t="str">
        <f>IFERROR(SQRT($F$40^2+$G$40^2),"")</f>
        <v/>
      </c>
    </row>
    <row r="41" spans="2:8">
      <c r="B41" t="s">
        <v>238</v>
      </c>
      <c r="C41" s="29"/>
      <c r="D41" t="str">
        <f>IFERROR(TraceAtLogRow($C$41,"x_mm"),"")</f>
        <v/>
      </c>
      <c r="E41" t="str">
        <f>IFERROR(TraceAtLogRow($C$41,"y_mm"),"")</f>
        <v/>
      </c>
      <c r="F41" t="str">
        <f>IFERROR($C$14-$D$41,"")</f>
        <v/>
      </c>
      <c r="G41" t="str">
        <f>IFERROR($D$14-$E$41,"")</f>
        <v/>
      </c>
      <c r="H41" t="str">
        <f>IFERROR(SQRT($F$41^2+$G$41^2),"")</f>
        <v/>
      </c>
    </row>
    <row r="42" spans="2:8">
      <c r="B42" t="s">
        <v>239</v>
      </c>
      <c r="C42" s="29"/>
      <c r="D42" t="str">
        <f>IFERROR(TraceAtLogRow($C$42,"x_mm"),"")</f>
        <v/>
      </c>
      <c r="E42" t="str">
        <f>IFERROR(TraceAtLogRow($C$42,"y_mm"),"")</f>
        <v/>
      </c>
      <c r="F42" t="str">
        <f>IFERROR($C$15-$D$42,"")</f>
        <v/>
      </c>
      <c r="G42" t="str">
        <f>IFERROR($D$15-$E$42,"")</f>
        <v/>
      </c>
      <c r="H42" t="str">
        <f>IFERROR(SQRT($F$42^2+$G$42^2),"")</f>
        <v/>
      </c>
    </row>
    <row r="43" spans="2:8">
      <c r="B43" t="s">
        <v>240</v>
      </c>
      <c r="C43" s="29"/>
      <c r="D43" t="str">
        <f>IFERROR(TraceAtLogRow($C$43,"x_mm"),"")</f>
        <v/>
      </c>
      <c r="E43" t="str">
        <f>IFERROR(TraceAtLogRow($C$43,"y_mm"),"")</f>
        <v/>
      </c>
      <c r="F43" t="str">
        <f>IFERROR($C$16-$D$43,"")</f>
        <v/>
      </c>
      <c r="G43" t="str">
        <f>IFERROR($D$16-$E$43,"")</f>
        <v/>
      </c>
      <c r="H43" t="str">
        <f>IFERROR(SQRT($F$43^2+$G$43^2),"")</f>
        <v/>
      </c>
    </row>
    <row r="44" spans="2:8">
      <c r="B44" t="s">
        <v>241</v>
      </c>
      <c r="C44" s="29"/>
      <c r="D44" t="str">
        <f>IFERROR(TraceAtLogRow($C$44,"x_mm"),"")</f>
        <v/>
      </c>
      <c r="E44" t="str">
        <f>IFERROR(TraceAtLogRow($C$44,"y_mm"),"")</f>
        <v/>
      </c>
      <c r="F44" t="str">
        <f>IFERROR($C$17-$D$44,"")</f>
        <v/>
      </c>
      <c r="G44" t="str">
        <f>IFERROR($D$17-$E$44,"")</f>
        <v/>
      </c>
      <c r="H44" t="str">
        <f>IFERROR(SQRT($F$44^2+$G$44^2),"")</f>
        <v/>
      </c>
    </row>
    <row r="45" spans="2:8">
      <c r="B45" t="s">
        <v>242</v>
      </c>
      <c r="C45" s="29"/>
      <c r="D45" t="str">
        <f>IFERROR(TraceAtLogRow($C$45,"x_mm"),"")</f>
        <v/>
      </c>
      <c r="E45" t="str">
        <f>IFERROR(TraceAtLogRow($C$45,"y_mm"),"")</f>
        <v/>
      </c>
      <c r="F45" t="str">
        <f>IFERROR($C$18-$D$45,"")</f>
        <v/>
      </c>
      <c r="G45" t="str">
        <f>IFERROR($D$18-$E$45,"")</f>
        <v/>
      </c>
      <c r="H45" t="str">
        <f>IFERROR(SQRT($F$45^2+$G$45^2),"")</f>
        <v/>
      </c>
    </row>
    <row r="46" spans="2:8">
      <c r="B46" t="s">
        <v>243</v>
      </c>
      <c r="C46" s="28"/>
      <c r="D46" t="str">
        <f>IFERROR(TraceAtLogRow($C$46,"x_mm"),"")</f>
        <v/>
      </c>
      <c r="E46" t="str">
        <f>IFERROR(TraceAtLogRow($C$46,"y_mm"),"")</f>
        <v/>
      </c>
      <c r="F46" t="str">
        <f>IFERROR($C$19-$D$46,"")</f>
        <v/>
      </c>
      <c r="G46" t="str">
        <f>IFERROR($D$19-$E$46,"")</f>
        <v/>
      </c>
      <c r="H46" t="str">
        <f>IFERROR(SQRT($F$46^2+$G$46^2),"")</f>
        <v/>
      </c>
    </row>
    <row r="48" spans="2:8">
      <c r="B48" s="23" t="s">
        <v>244</v>
      </c>
    </row>
    <row r="49" spans="2:3">
      <c r="B49" t="s">
        <v>245</v>
      </c>
      <c r="C49">
        <f>IFERROR(MAX($H$39:$H$46),"")</f>
        <v>0</v>
      </c>
    </row>
    <row r="50" spans="2:3">
      <c r="B50" t="s">
        <v>246</v>
      </c>
      <c r="C50" t="str">
        <f>IFERROR(SQRT(SUMSQ($H$39:$H$46)/COUNT($H$39:$H$46)),"")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7C2EC-87F5-4C63-8AF2-859021D750B1}">
  <sheetPr codeName="Sheet13"/>
  <dimension ref="A1:J19"/>
  <sheetViews>
    <sheetView workbookViewId="0">
      <selection activeCell="B35" sqref="B35"/>
    </sheetView>
  </sheetViews>
  <sheetFormatPr defaultRowHeight="14.5"/>
  <cols>
    <col min="1" max="1" width="28.6328125" customWidth="1"/>
    <col min="2" max="7" width="13.6328125" customWidth="1"/>
  </cols>
  <sheetData>
    <row r="1" spans="1:10" ht="17">
      <c r="A1" s="63" t="s">
        <v>443</v>
      </c>
    </row>
    <row r="2" spans="1:10">
      <c r="A2" t="s">
        <v>444</v>
      </c>
    </row>
    <row r="4" spans="1:10">
      <c r="A4" s="25" t="s">
        <v>445</v>
      </c>
      <c r="B4" s="64">
        <v>90</v>
      </c>
    </row>
    <row r="5" spans="1:10">
      <c r="A5" s="25" t="s">
        <v>446</v>
      </c>
      <c r="B5" s="64">
        <v>80</v>
      </c>
    </row>
    <row r="6" spans="1:10">
      <c r="A6" s="25" t="s">
        <v>447</v>
      </c>
      <c r="B6" s="64">
        <v>450</v>
      </c>
    </row>
    <row r="8" spans="1:10">
      <c r="A8" s="25" t="s">
        <v>448</v>
      </c>
      <c r="B8">
        <f>MAX(ABS(MIN(C15:C19)),ABS(MAX(C15:C19)))</f>
        <v>270</v>
      </c>
    </row>
    <row r="9" spans="1:10">
      <c r="A9" s="25" t="s">
        <v>449</v>
      </c>
      <c r="B9">
        <f>$B$6-B8</f>
        <v>180</v>
      </c>
    </row>
    <row r="10" spans="1:10">
      <c r="A10" s="25" t="s">
        <v>450</v>
      </c>
      <c r="B10">
        <f>MAX(D15:D19)</f>
        <v>110</v>
      </c>
    </row>
    <row r="11" spans="1:10">
      <c r="A11" s="25" t="s">
        <v>451</v>
      </c>
      <c r="B11">
        <f>SUMPRODUCT(--(F15:F19))</f>
        <v>2</v>
      </c>
    </row>
    <row r="14" spans="1:10">
      <c r="A14" s="65" t="s">
        <v>258</v>
      </c>
      <c r="B14" s="65" t="s">
        <v>69</v>
      </c>
      <c r="C14" s="65" t="s">
        <v>452</v>
      </c>
      <c r="D14" s="65" t="s">
        <v>453</v>
      </c>
      <c r="E14" s="65" t="s">
        <v>454</v>
      </c>
      <c r="F14" s="65" t="s">
        <v>455</v>
      </c>
      <c r="G14" s="65" t="s">
        <v>456</v>
      </c>
      <c r="I14" t="s">
        <v>457</v>
      </c>
      <c r="J14" t="s">
        <v>458</v>
      </c>
    </row>
    <row r="15" spans="1:10">
      <c r="A15" t="str">
        <f>Plan!M6</f>
        <v>GP01</v>
      </c>
      <c r="B15" t="str">
        <f>Plan!S6</f>
        <v>Move</v>
      </c>
      <c r="C15">
        <f>IF(ISNUMBER(Plan!V6),Plan!V6,0)+IFERROR(VALUE(Plan!X6),0)</f>
        <v>0</v>
      </c>
      <c r="D15">
        <f>IF(ISNUMBER(Plan!W6),Plan!W6,0)+IFERROR(VALUE(Plan!Y6),0)</f>
        <v>20</v>
      </c>
      <c r="E15">
        <v>0</v>
      </c>
      <c r="F15" t="b">
        <f>ABS(E15)&gt;$B$4</f>
        <v>0</v>
      </c>
      <c r="G15" t="e">
        <f>IF(F15,D15,NA())</f>
        <v>#N/A</v>
      </c>
      <c r="I15">
        <f>MIN(C15:C19)</f>
        <v>0</v>
      </c>
      <c r="J15">
        <f>$B$5</f>
        <v>80</v>
      </c>
    </row>
    <row r="16" spans="1:10">
      <c r="A16" t="str">
        <f>Plan!M7</f>
        <v>GP02</v>
      </c>
      <c r="B16" t="str">
        <f>Plan!S7</f>
        <v>Move</v>
      </c>
      <c r="C16">
        <f>IF(ISNUMBER(Plan!V7),Plan!V7,C15)+IFERROR(VALUE(Plan!X7),0)</f>
        <v>100</v>
      </c>
      <c r="D16">
        <f>IF(ISNUMBER(Plan!W7),Plan!W7,D15)+IFERROR(VALUE(Plan!Y7),0)</f>
        <v>50</v>
      </c>
      <c r="E16">
        <f>C16-C15</f>
        <v>100</v>
      </c>
      <c r="F16" t="b">
        <f>ABS(E16)&gt;$B$4</f>
        <v>1</v>
      </c>
      <c r="G16">
        <f>IF(F16,D16,NA())</f>
        <v>50</v>
      </c>
      <c r="I16">
        <f>MAX(C15:C19)</f>
        <v>270</v>
      </c>
      <c r="J16">
        <f>$B$5</f>
        <v>80</v>
      </c>
    </row>
    <row r="17" spans="1:7">
      <c r="A17" t="str">
        <f>Plan!M8</f>
        <v>GP03</v>
      </c>
      <c r="B17" t="str">
        <f>Plan!S8</f>
        <v>Move</v>
      </c>
      <c r="C17">
        <f>IF(ISNUMBER(Plan!V8),Plan!V8,C16)+IFERROR(VALUE(Plan!X8),0)</f>
        <v>270</v>
      </c>
      <c r="D17">
        <f>IF(ISNUMBER(Plan!W8),Plan!W8,D16)+IFERROR(VALUE(Plan!Y8),0)</f>
        <v>110</v>
      </c>
      <c r="E17">
        <f>C17-C16</f>
        <v>170</v>
      </c>
      <c r="F17" t="b">
        <f>ABS(E17)&gt;$B$4</f>
        <v>1</v>
      </c>
      <c r="G17">
        <f>IF(F17,D17,NA())</f>
        <v>110</v>
      </c>
    </row>
    <row r="18" spans="1:7">
      <c r="A18" t="str">
        <f>Plan!M9</f>
        <v>GP04</v>
      </c>
      <c r="B18" t="str">
        <f>Plan!S9</f>
        <v>Move</v>
      </c>
      <c r="C18">
        <f>IF(ISNUMBER(Plan!V9),Plan!V9,C17)+IFERROR(VALUE(Plan!X9),0)</f>
        <v>270</v>
      </c>
      <c r="D18">
        <f>IF(ISNUMBER(Plan!W9),Plan!W9,D17)+IFERROR(VALUE(Plan!Y9),0)</f>
        <v>110</v>
      </c>
      <c r="E18">
        <f>C18-C17</f>
        <v>0</v>
      </c>
      <c r="F18" t="b">
        <f>ABS(E18)&gt;$B$4</f>
        <v>0</v>
      </c>
      <c r="G18" t="e">
        <f>IF(F18,D18,NA())</f>
        <v>#N/A</v>
      </c>
    </row>
    <row r="19" spans="1:7">
      <c r="A19" t="str">
        <f>Plan!M10</f>
        <v>GP05</v>
      </c>
      <c r="B19" t="str">
        <f>Plan!S10</f>
        <v>END</v>
      </c>
      <c r="C19">
        <f>IF(ISNUMBER(Plan!V10),Plan!V10,C18)+IFERROR(VALUE(Plan!X10),0)</f>
        <v>270</v>
      </c>
      <c r="D19">
        <f>IF(ISNUMBER(Plan!W10),Plan!W10,D18)+IFERROR(VALUE(Plan!Y10),0)</f>
        <v>110</v>
      </c>
      <c r="E19">
        <f>C19-C18</f>
        <v>0</v>
      </c>
      <c r="F19" t="b">
        <f>ABS(E19)&gt;$B$4</f>
        <v>0</v>
      </c>
      <c r="G19" t="e">
        <f>IF(F19,D19,NA())</f>
        <v>#N/A</v>
      </c>
    </row>
  </sheetData>
  <conditionalFormatting sqref="B9">
    <cfRule type="cellIs" dxfId="2" priority="1" stopIfTrue="1" operator="lessThan">
      <formula>0</formula>
    </cfRule>
  </conditionalFormatting>
  <conditionalFormatting sqref="B10">
    <cfRule type="cellIs" dxfId="1" priority="2" stopIfTrue="1" operator="greaterThan">
      <formula>$B$5</formula>
    </cfRule>
  </conditionalFormatting>
  <conditionalFormatting sqref="B11">
    <cfRule type="cellIs" dxfId="0" priority="3" stopIfTrue="1" operator="greater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90</vt:i4>
      </vt:variant>
    </vt:vector>
  </HeadingPairs>
  <TitlesOfParts>
    <vt:vector size="104" baseType="lpstr">
      <vt:lpstr>Control</vt:lpstr>
      <vt:lpstr>Settings</vt:lpstr>
      <vt:lpstr>Plan</vt:lpstr>
      <vt:lpstr>Monitor</vt:lpstr>
      <vt:lpstr>Sequence</vt:lpstr>
      <vt:lpstr>CartLog</vt:lpstr>
      <vt:lpstr>GimbalLog</vt:lpstr>
      <vt:lpstr>Log</vt:lpstr>
      <vt:lpstr>Soak test</vt:lpstr>
      <vt:lpstr>AstroTable</vt:lpstr>
      <vt:lpstr>Trace</vt:lpstr>
      <vt:lpstr>FallbackFormula</vt:lpstr>
      <vt:lpstr>Calibration</vt:lpstr>
      <vt:lpstr>GimbalViz</vt:lpstr>
      <vt:lpstr>btnCable</vt:lpstr>
      <vt:lpstr>btnCommitSmooth</vt:lpstr>
      <vt:lpstr>btnDiscardSmooth</vt:lpstr>
      <vt:lpstr>btnExportModules</vt:lpstr>
      <vt:lpstr>btnGenerateGCTable</vt:lpstr>
      <vt:lpstr>btnGetMap</vt:lpstr>
      <vt:lpstr>btnGetSunsetTime</vt:lpstr>
      <vt:lpstr>btnGimbalVisual</vt:lpstr>
      <vt:lpstr>btnImportModules</vt:lpstr>
      <vt:lpstr>btnInitCalibration</vt:lpstr>
      <vt:lpstr>btnInitFallbackFormula</vt:lpstr>
      <vt:lpstr>btnInitShoot</vt:lpstr>
      <vt:lpstr>btnIntegrateBicycle</vt:lpstr>
      <vt:lpstr>btnMatchWaypoints</vt:lpstr>
      <vt:lpstr>btnPrepAll</vt:lpstr>
      <vt:lpstr>btnPushAstro</vt:lpstr>
      <vt:lpstr>btnPushFormula</vt:lpstr>
      <vt:lpstr>btnPushTrack</vt:lpstr>
      <vt:lpstr>btnSmoothSelection</vt:lpstr>
      <vt:lpstr>btnStartSequence</vt:lpstr>
      <vt:lpstr>btnStopSequence</vt:lpstr>
      <vt:lpstr>btnSystemCheck</vt:lpstr>
      <vt:lpstr>dataActiveBranch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dataEaseCinematic</vt:lpstr>
      <vt:lpstr>dataEaseComfortable</vt:lpstr>
      <vt:lpstr>dataEaseJustPerceptible</vt:lpstr>
      <vt:lpstr>dataGCRiseTime</vt:lpstr>
      <vt:lpstr>dataGCSetTime</vt:lpstr>
      <vt:lpstr>dataGCTransitTime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dataLumTargetSunrise</vt:lpstr>
      <vt:lpstr>dataLumTargetSunset</vt:lpstr>
      <vt:lpstr>dataMoonriseTime</vt:lpstr>
      <vt:lpstr>dataMoonsetTime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dataPlanPushDryRun</vt:lpstr>
      <vt:lpstr>dataReplayStart</vt:lpstr>
      <vt:lpstr>dataSequenceRunning</vt:lpstr>
      <vt:lpstr>dataShootStart</vt:lpstr>
      <vt:lpstr>dataShotCount</vt:lpstr>
      <vt:lpstr>dataSunriseTime</vt:lpstr>
      <vt:lpstr>dataSunsetTime</vt:lpstr>
      <vt:lpstr>dataUTCOffset</vt:lpstr>
      <vt:lpstr>datMapRadius</vt:lpstr>
      <vt:lpstr>gimbalYawEnvelopeMax</vt:lpstr>
      <vt:lpstr>gimbalYawEnvelopeMin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2026-06-08T04:50:17Z</dcterms:modified>
</cp:coreProperties>
</file>