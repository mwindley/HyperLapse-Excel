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hib\HyperLapse-Excel\"/>
    </mc:Choice>
  </mc:AlternateContent>
  <xr:revisionPtr revIDLastSave="0" documentId="13_ncr:1_{BAFF8B79-5B5E-4BB4-B46F-6507F425480B}" xr6:coauthVersionLast="47" xr6:coauthVersionMax="47" xr10:uidLastSave="{00000000-0000-0000-0000-000000000000}"/>
  <bookViews>
    <workbookView xWindow="-110" yWindow="-110" windowWidth="38620" windowHeight="21100" activeTab="7" xr2:uid="{00000000-000D-0000-FFFF-FFFF00000000}"/>
  </bookViews>
  <sheets>
    <sheet name="Control" sheetId="8" r:id="rId1"/>
    <sheet name="Settings" sheetId="1" r:id="rId2"/>
    <sheet name="Plan" sheetId="18" r:id="rId3"/>
    <sheet name="Monitor" sheetId="2" r:id="rId4"/>
    <sheet name="Sequence" sheetId="3" r:id="rId5"/>
    <sheet name="CartLog" sheetId="4" r:id="rId6"/>
    <sheet name="GimbalLog" sheetId="5" r:id="rId7"/>
    <sheet name="Log" sheetId="6" r:id="rId8"/>
    <sheet name="AstroTable" sheetId="7" r:id="rId9"/>
    <sheet name="Trace" sheetId="9" r:id="rId10"/>
    <sheet name="FallbackFormula" sheetId="16" r:id="rId11"/>
    <sheet name="Calibration" sheetId="17" r:id="rId12"/>
  </sheets>
  <functionGroups builtInGroupCount="19"/>
  <definedNames>
    <definedName name="btnCommitSmooth">CartLog!$H$1</definedName>
    <definedName name="btnDiscardSmooth">CartLog!$I$1</definedName>
    <definedName name="btnExportModules">Control!$C$14</definedName>
    <definedName name="btnGenerateGCTable">Control!$C$8</definedName>
    <definedName name="btnGetSunsetTime">Control!$C$7</definedName>
    <definedName name="btnImportModules">Control!$C$15</definedName>
    <definedName name="btnInitCalibration">Control!$C$12</definedName>
    <definedName name="btnInitFallbackFormula">Control!$C$10</definedName>
    <definedName name="btnInitShoot">Control!$C$4</definedName>
    <definedName name="btnIntegrateBicycle">Control!$C$9</definedName>
    <definedName name="btnMatchWaypoints">Control!$C$13</definedName>
    <definedName name="btnPushAstro">Control!$C$16</definedName>
    <definedName name="btnPushFormula">Control!$C$11</definedName>
    <definedName name="btnPushTrack">Control!$C$17</definedName>
    <definedName name="btnSmoothSelection">CartLog!$G$1</definedName>
    <definedName name="btnStartSequence">Control!$C$5</definedName>
    <definedName name="btnStopSequence">Control!$C$6</definedName>
    <definedName name="btnSystemCheck">Control!$C$3</definedName>
    <definedName name="dataActiveBranch">Settings!$C$44</definedName>
    <definedName name="dataArduinoIP">Settings!$C$5</definedName>
    <definedName name="dataAstroDusk">Settings!$F$22</definedName>
    <definedName name="dataCameraIP">Settings!$C$4</definedName>
    <definedName name="dataCartHeading">Settings!$C$11</definedName>
    <definedName name="dataCartOverdrive">Settings!$C$38</definedName>
    <definedName name="dataCartSpeed">Settings!$C$37</definedName>
    <definedName name="dataCartSteering">Settings!$C$35</definedName>
    <definedName name="dataCartVoltage">Settings!$C$36</definedName>
    <definedName name="dataCivilDawn">Settings!$F$19</definedName>
    <definedName name="dataCivilDusk">Settings!$F$20</definedName>
    <definedName name="dataCommCameraCheck">Settings!$C$23</definedName>
    <definedName name="dataCurrentAv">Settings!$C$18</definedName>
    <definedName name="dataCurrentISO">Settings!$C$20</definedName>
    <definedName name="dataCurrentMode">Settings!$C$17</definedName>
    <definedName name="dataCurrentTv">Settings!$C$19</definedName>
    <definedName name="dataEaseCinematic">Settings!$C$59</definedName>
    <definedName name="dataEaseComfortable">Settings!$C$58</definedName>
    <definedName name="dataEaseJustPerceptible">Settings!$C$57</definedName>
    <definedName name="dataGCRiseTime">Settings!$C$52</definedName>
    <definedName name="dataGCSetTime">Settings!$C$54</definedName>
    <definedName name="dataGCTransitTime">Settings!$C$53</definedName>
    <definedName name="dataGimbalPitch">Settings!$C$29</definedName>
    <definedName name="dataGimbalRoll">Settings!$C$28</definedName>
    <definedName name="dataGimbalTargetPitch">Settings!$C$31</definedName>
    <definedName name="dataGimbalTargetRoll">Settings!$C$32</definedName>
    <definedName name="dataGimbalTargetYaw">Settings!$C$30</definedName>
    <definedName name="dataGimbalYaw">Settings!$C$27</definedName>
    <definedName name="dataLatitude">Settings!$C$8</definedName>
    <definedName name="dataLongitude">Settings!$C$9</definedName>
    <definedName name="dataLuminance">Settings!$C$21</definedName>
    <definedName name="dataLumTargetSunrise">Settings!$C$42</definedName>
    <definedName name="dataLumTargetSunset">Settings!$C$41</definedName>
    <definedName name="dataMoonriseTime">Settings!$F$25</definedName>
    <definedName name="dataMoonsetTime">Settings!$F$26</definedName>
    <definedName name="dataNauticalDusk">Settings!$F$21</definedName>
    <definedName name="dataPhase1Start">Settings!$F$7</definedName>
    <definedName name="dataPhase2aStart">Settings!$F$10</definedName>
    <definedName name="dataPhase2bStart">Settings!$F$11</definedName>
    <definedName name="dataPhase3Start">Settings!$F$12</definedName>
    <definedName name="dataPhase4aStart">Settings!$F$13</definedName>
    <definedName name="dataPhase4bStart">Settings!$F$14</definedName>
    <definedName name="dataPhase5Start">Settings!$F$15</definedName>
    <definedName name="dataPlanPushDryRun">Settings!$C$65</definedName>
    <definedName name="dataReplayStart">Settings!$C$14</definedName>
    <definedName name="dataSequenceRunning">Settings!$C$24</definedName>
    <definedName name="dataShootStart">Settings!$C$49</definedName>
    <definedName name="dataShotCount">Settings!$C$22</definedName>
    <definedName name="dataSunriseTime">Settings!$F$18</definedName>
    <definedName name="dataSunsetTime">Settings!$F$8</definedName>
    <definedName name="dataUTCOffset">Settings!$C$10</definedName>
    <definedName name="gimbalYawEnvelopeMax">Settings!$C$46</definedName>
    <definedName name="gimbalYawEnvelopeMin">Settings!$C$45</definedName>
    <definedName name="monAv">Monitor!$C$9</definedName>
    <definedName name="monCartSpeed">Monitor!$C$16</definedName>
    <definedName name="monCartSteering">Monitor!$F$16</definedName>
    <definedName name="monCartVoltage">Monitor!$C$17</definedName>
    <definedName name="monGimbalPitch">Monitor!$F$13</definedName>
    <definedName name="monGimbalYaw">Monitor!$C$13</definedName>
    <definedName name="monInterval">Monitor!$F$9</definedName>
    <definedName name="monISO">Monitor!$F$8</definedName>
    <definedName name="monLuminance">Monitor!$C$10</definedName>
    <definedName name="monPhase">Monitor!$F$4</definedName>
    <definedName name="monSequence">Monitor!$C$5</definedName>
    <definedName name="monShotCount">Monitor!$F$10</definedName>
    <definedName name="monTime">Monitor!$C$4</definedName>
    <definedName name="monTv">Monitor!$C$8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8" l="1"/>
  <c r="Q8" i="18"/>
  <c r="Q7" i="18"/>
  <c r="Q6" i="18"/>
  <c r="B12" i="18"/>
  <c r="B11" i="18"/>
  <c r="B10" i="18"/>
  <c r="R9" i="18"/>
  <c r="M9" i="18"/>
  <c r="B9" i="18"/>
  <c r="M8" i="18"/>
  <c r="B8" i="18"/>
  <c r="M7" i="18"/>
  <c r="B7" i="18"/>
  <c r="M6" i="18"/>
  <c r="J6" i="18"/>
  <c r="J7" i="18" s="1"/>
  <c r="J8" i="18" s="1"/>
  <c r="J9" i="18" s="1"/>
  <c r="J10" i="18" s="1"/>
  <c r="J11" i="18" s="1"/>
  <c r="J12" i="18" s="1"/>
  <c r="I6" i="18"/>
  <c r="I7" i="18" s="1"/>
  <c r="I8" i="18" s="1"/>
  <c r="I9" i="18" s="1"/>
  <c r="I10" i="18" s="1"/>
  <c r="I11" i="18" s="1"/>
  <c r="I12" i="18" s="1"/>
  <c r="B6" i="18"/>
  <c r="C151" i="16"/>
  <c r="G11" i="1"/>
  <c r="G12" i="1"/>
  <c r="G13" i="1"/>
  <c r="G14" i="1"/>
  <c r="G15" i="1"/>
  <c r="G10" i="1"/>
  <c r="G8" i="1"/>
  <c r="D45" i="17"/>
  <c r="C24" i="17"/>
  <c r="D42" i="17"/>
  <c r="C149" i="16"/>
  <c r="C27" i="17"/>
  <c r="D39" i="17"/>
  <c r="E40" i="17"/>
  <c r="E42" i="17"/>
  <c r="D43" i="17"/>
  <c r="D44" i="17"/>
  <c r="C150" i="16"/>
  <c r="E41" i="17"/>
  <c r="D40" i="17"/>
  <c r="E46" i="17"/>
  <c r="C25" i="17"/>
  <c r="C23" i="17"/>
  <c r="D41" i="17"/>
  <c r="E44" i="17"/>
  <c r="E39" i="17"/>
  <c r="D46" i="17"/>
  <c r="E45" i="17"/>
  <c r="E43" i="17"/>
  <c r="R8" i="18" l="1"/>
  <c r="R7" i="18"/>
  <c r="G40" i="17"/>
  <c r="G43" i="17"/>
  <c r="F44" i="17"/>
  <c r="G44" i="17"/>
  <c r="F45" i="17"/>
  <c r="G45" i="17"/>
  <c r="G46" i="17"/>
  <c r="F41" i="17"/>
  <c r="G41" i="17"/>
  <c r="G42" i="17"/>
  <c r="F43" i="17"/>
  <c r="F39" i="17"/>
  <c r="F46" i="17"/>
  <c r="G39" i="17"/>
  <c r="F40" i="17"/>
  <c r="F42" i="17"/>
  <c r="C28" i="17"/>
  <c r="C30" i="17"/>
  <c r="C31" i="17" s="1"/>
  <c r="C26" i="17"/>
  <c r="F9" i="1"/>
  <c r="R6" i="18" l="1"/>
  <c r="H46" i="17"/>
  <c r="H40" i="17"/>
  <c r="H39" i="17"/>
  <c r="H41" i="17"/>
  <c r="H45" i="17"/>
  <c r="H42" i="17"/>
  <c r="H43" i="17"/>
  <c r="H44" i="17"/>
  <c r="C50" i="17" l="1"/>
  <c r="C49" i="17"/>
</calcChain>
</file>

<file path=xl/sharedStrings.xml><?xml version="1.0" encoding="utf-8"?>
<sst xmlns="http://schemas.openxmlformats.org/spreadsheetml/2006/main" count="2173" uniqueCount="954">
  <si>
    <t>HyperLapse Cart — Settings</t>
  </si>
  <si>
    <t>Network</t>
  </si>
  <si>
    <t>Canon R3 CCAPI IP</t>
  </si>
  <si>
    <t>Arduino IP</t>
  </si>
  <si>
    <t>Phase Times (auto-calculated)</t>
  </si>
  <si>
    <t>Location</t>
  </si>
  <si>
    <t>Phase 1 start</t>
  </si>
  <si>
    <t>Latitude</t>
  </si>
  <si>
    <t>Sunset time</t>
  </si>
  <si>
    <t>Longitude</t>
  </si>
  <si>
    <t>Sunrise time</t>
  </si>
  <si>
    <t>UTC Offset (hrs)</t>
  </si>
  <si>
    <t>Phase 2a start</t>
  </si>
  <si>
    <t>Cart heading (°N)</t>
  </si>
  <si>
    <t>Phase 2b start</t>
  </si>
  <si>
    <t>Phase 3 start</t>
  </si>
  <si>
    <t>Cart Replay</t>
  </si>
  <si>
    <t>Phase 4a start</t>
  </si>
  <si>
    <t>Replay start time</t>
  </si>
  <si>
    <t>16:00:00</t>
  </si>
  <si>
    <t>Phase 4b start</t>
  </si>
  <si>
    <t>Phase 5 start</t>
  </si>
  <si>
    <t>Camera State</t>
  </si>
  <si>
    <t>Shooting mode</t>
  </si>
  <si>
    <t>m</t>
  </si>
  <si>
    <t>Sun &amp; Twilight Times</t>
  </si>
  <si>
    <t>Aperture</t>
  </si>
  <si>
    <t>f1.8</t>
  </si>
  <si>
    <t>Sunrise</t>
  </si>
  <si>
    <t>Shutter speed</t>
  </si>
  <si>
    <t>Civil dawn (blue hour)</t>
  </si>
  <si>
    <t>ISO</t>
  </si>
  <si>
    <t>Civil dusk (golden hour)</t>
  </si>
  <si>
    <t>Last luminance</t>
  </si>
  <si>
    <t>Nautical dusk</t>
  </si>
  <si>
    <t>Shot count</t>
  </si>
  <si>
    <t>Astronomical dark</t>
  </si>
  <si>
    <t>Camera status</t>
  </si>
  <si>
    <t>--</t>
  </si>
  <si>
    <t>Sequence</t>
  </si>
  <si>
    <t>STOPPED</t>
  </si>
  <si>
    <t>Gimbal State</t>
  </si>
  <si>
    <t>Live yaw (°)</t>
  </si>
  <si>
    <t>Live roll (°)</t>
  </si>
  <si>
    <t>Live pitch (°)</t>
  </si>
  <si>
    <t>Target yaw (°)</t>
  </si>
  <si>
    <t>Target pitch (°)</t>
  </si>
  <si>
    <t>Target roll (°)</t>
  </si>
  <si>
    <t>Cart State</t>
  </si>
  <si>
    <t>Steering offset (°)</t>
  </si>
  <si>
    <t>Voltage (v)</t>
  </si>
  <si>
    <t>Speed (m/hr)</t>
  </si>
  <si>
    <t>Overdrive ratio</t>
  </si>
  <si>
    <t>HyperLapse Cart — Live Monitor</t>
  </si>
  <si>
    <t>Status</t>
  </si>
  <si>
    <t>Current time</t>
  </si>
  <si>
    <t>Phase</t>
  </si>
  <si>
    <t>Camera</t>
  </si>
  <si>
    <t>Shutter (Tv)</t>
  </si>
  <si>
    <t>Interval</t>
  </si>
  <si>
    <t>Luminance</t>
  </si>
  <si>
    <t>Shots taken</t>
  </si>
  <si>
    <t>Gimbal</t>
  </si>
  <si>
    <t>Yaw (°)</t>
  </si>
  <si>
    <t>Pitch (°)</t>
  </si>
  <si>
    <t>Cart</t>
  </si>
  <si>
    <t>Steering (°)</t>
  </si>
  <si>
    <t>Operator Notes</t>
  </si>
  <si>
    <t>Replay Time</t>
  </si>
  <si>
    <t>Action</t>
  </si>
  <si>
    <t>Value</t>
  </si>
  <si>
    <t>Notes</t>
  </si>
  <si>
    <t>Duration (s)</t>
  </si>
  <si>
    <t>Distance (m)</t>
  </si>
  <si>
    <t>Segment End</t>
  </si>
  <si>
    <t>Timestamp</t>
  </si>
  <si>
    <t>Type</t>
  </si>
  <si>
    <t>Description</t>
  </si>
  <si>
    <t>Category</t>
  </si>
  <si>
    <t>Message</t>
  </si>
  <si>
    <t>GC above horizon</t>
  </si>
  <si>
    <t>http://192.168.1.99:8080</t>
  </si>
  <si>
    <t>http://192.168.1.97</t>
  </si>
  <si>
    <t>SEQ</t>
  </si>
  <si>
    <t>GC Az (Â°)</t>
  </si>
  <si>
    <t>GC Alt (Â°)</t>
  </si>
  <si>
    <t>Sun Az (Â°)</t>
  </si>
  <si>
    <t>Sun Alt (Â°)</t>
  </si>
  <si>
    <t>no</t>
  </si>
  <si>
    <t>YES</t>
  </si>
  <si>
    <t>ASTRO</t>
  </si>
  <si>
    <t>CAMERA</t>
  </si>
  <si>
    <t>ISO set to 100</t>
  </si>
  <si>
    <t>Tv set to 1/5000</t>
  </si>
  <si>
    <t>2.0s</t>
  </si>
  <si>
    <t>HyperLapse Control</t>
  </si>
  <si>
    <t>System Check</t>
  </si>
  <si>
    <t>Init Shoot</t>
  </si>
  <si>
    <t>Start Sequence</t>
  </si>
  <si>
    <t>Stop Sequence</t>
  </si>
  <si>
    <t>Get Sunset Time</t>
  </si>
  <si>
    <t>Generate GC Table</t>
  </si>
  <si>
    <t>Export Modules</t>
  </si>
  <si>
    <t>Import Modules</t>
  </si>
  <si>
    <t>Double-click any button to run.</t>
  </si>
  <si>
    <t>Phase 5 â€” Daytime</t>
  </si>
  <si>
    <t>UTILS</t>
  </si>
  <si>
    <t>Tv lookup populated from camera: 60 values</t>
  </si>
  <si>
    <t>Phase 2a/2b target luminance (0–255 scale)</t>
  </si>
  <si>
    <t>Phase 4a/4b target luminance (0–255 scale)</t>
  </si>
  <si>
    <t>Luminace</t>
  </si>
  <si>
    <t>Sunset: 17:25:44 Civil dusk: 17:51:05 Astro dark: 18:51:22</t>
  </si>
  <si>
    <t>Phase times calculated from sunset 17:25:44</t>
  </si>
  <si>
    <t>GC table generated â€” 97 rows</t>
  </si>
  <si>
    <t>Mode set to m</t>
  </si>
  <si>
    <t>Av set to f1.8</t>
  </si>
  <si>
    <t>Camera initialised: M f1.8 ISO100 1/5000</t>
  </si>
  <si>
    <t>InitShoot complete. Sunset: 17:25:44</t>
  </si>
  <si>
    <t xml:space="preserve">iso </t>
  </si>
  <si>
    <t>LUMINANCE</t>
  </si>
  <si>
    <t>Sunset target: 60</t>
  </si>
  <si>
    <t>Sunrise target: 40</t>
  </si>
  <si>
    <t>luminance.py found at C:\Users\mauri\OneDrive\Documents\Github\HyperLapse-Excel\Python\luminance.py</t>
  </si>
  <si>
    <t>TIMING</t>
  </si>
  <si>
    <t>shot=1 Av=f1.8 Tv=1/5000 ISO=100 int=-</t>
  </si>
  <si>
    <t>AdjustExposure: no luminance available (-1), skipping</t>
  </si>
  <si>
    <t>Shot Tv=1/5000 ISO=100 Lum=-1 mode=brighten shot=1</t>
  </si>
  <si>
    <t>shot=2 Av=f1.8 Tv=1/5000 ISO=100 int=3.0s</t>
  </si>
  <si>
    <t>lum=1 target=60 deadzone=10 mode=1 stale=1 Tv=1/5000 ISO=100</t>
  </si>
  <si>
    <t>Cadence slip 2.0s â€” resynced (interval=2.0s)</t>
  </si>
  <si>
    <t>Tv set to 1/4000</t>
  </si>
  <si>
    <t>Tv set to 1/3200</t>
  </si>
  <si>
    <t>Tv set to 1/2500</t>
  </si>
  <si>
    <t>Tv set to 1/2000</t>
  </si>
  <si>
    <t>Tv set to 1/1600</t>
  </si>
  <si>
    <t>Tv set to 1/1250</t>
  </si>
  <si>
    <t>Tv set to 1/1000</t>
  </si>
  <si>
    <t>Tv set to 1/800</t>
  </si>
  <si>
    <t>Tv set to 1/640</t>
  </si>
  <si>
    <t>Tv set to 1/500</t>
  </si>
  <si>
    <t>Tv set to 1/400</t>
  </si>
  <si>
    <t>Tv set to 1/320</t>
  </si>
  <si>
    <t>Tv set to 1/250</t>
  </si>
  <si>
    <t>Tv set to 1/200</t>
  </si>
  <si>
    <t>Tv set to 1/160</t>
  </si>
  <si>
    <t>Tv set to 1/125</t>
  </si>
  <si>
    <t>Tv set to 1/100</t>
  </si>
  <si>
    <t>Tv set to 1/80</t>
  </si>
  <si>
    <t>Tv set to 1/60</t>
  </si>
  <si>
    <t>shot=9 Av=f1.8 Tv=1/1000 ISO=100 int=3.0s</t>
  </si>
  <si>
    <t>Shot Tv=1/4000 ISO=100 Lum=1 mode=brighten shot=3</t>
  </si>
  <si>
    <t>lum=1 target=60 deadzone=10 mode=1 stale=2 Tv=1/4000 ISO=100</t>
  </si>
  <si>
    <t>Shot Tv=1/3200 ISO=100 Lum=1 mode=brighten shot=4</t>
  </si>
  <si>
    <t>lum=1 target=60 deadzone=10 mode=1 stale=2 Tv=1/3200 ISO=100</t>
  </si>
  <si>
    <t>Shot Tv=1/2500 ISO=100 Lum=1 mode=brighten shot=5</t>
  </si>
  <si>
    <t>lum=2 target=60 deadzone=10 mode=1 stale=2 Tv=1/2000 ISO=100</t>
  </si>
  <si>
    <t>Shot Tv=1/1600 ISO=100 Lum=2 mode=brighten shot=7</t>
  </si>
  <si>
    <t>Tv set to 1/50</t>
  </si>
  <si>
    <t>shot=3 Av=f1.8 Tv=1/4000 ISO=100 int=3.0s</t>
  </si>
  <si>
    <t>shot=4 Av=f1.8 Tv=1/3200 ISO=100 int=3.0s</t>
  </si>
  <si>
    <t>shot=5 Av=f1.8 Tv=1/2500 ISO=100 int=3.0s</t>
  </si>
  <si>
    <t>shot=6 Av=f1.8 Tv=1/2000 ISO=100 int=3.0s</t>
  </si>
  <si>
    <t>shot=10 Av=f1.8 Tv=1/800 ISO=100 int=3.0s</t>
  </si>
  <si>
    <t>shot=11 Av=f1.8 Tv=1/640 ISO=100 int=3.0s</t>
  </si>
  <si>
    <t>shot=12 Av=f1.8 Tv=1/500 ISO=100 int=3.0s</t>
  </si>
  <si>
    <t>shot=13 Av=f1.8 Tv=1/400 ISO=100 int=3.0s</t>
  </si>
  <si>
    <t>shot=14 Av=f1.8 Tv=1/320 ISO=100 int=3.0s</t>
  </si>
  <si>
    <t>shot=15 Av=f1.8 Tv=1/250 ISO=100 int=3.0s</t>
  </si>
  <si>
    <t>shot=16 Av=f1.8 Tv=1/200 ISO=100 int=3.0s</t>
  </si>
  <si>
    <t>shot=17 Av=f1.8 Tv=1/160 ISO=100 int=4.0s</t>
  </si>
  <si>
    <t>shot=8 Av=f1.8 Tv=1/1250 ISO=100 int=3.0s</t>
  </si>
  <si>
    <t>Shot Tv=1/640 ISO=100 Lum=5 mode=brighten shot=11</t>
  </si>
  <si>
    <t>shot=19 Av=f1.8 Tv=1/100 ISO=100 int=3.0s</t>
  </si>
  <si>
    <t>shot=20 Av=f1.8 Tv=1/80 ISO=100 int=3.0s</t>
  </si>
  <si>
    <t>shot=21 Av=f1.8 Tv=1/60 ISO=100 int=3.0s</t>
  </si>
  <si>
    <t>2026-05-11 13:36:31</t>
  </si>
  <si>
    <t>2026-05-11 13:36:32</t>
  </si>
  <si>
    <t>2026-05-11 13:36:36</t>
  </si>
  <si>
    <t>2026-05-11 13:36:37</t>
  </si>
  <si>
    <t>2026-05-11 13:36:38</t>
  </si>
  <si>
    <t>2026-05-11 13:40:14</t>
  </si>
  <si>
    <t>2026-05-11 13:40:16</t>
  </si>
  <si>
    <t>2026-05-11 13:40:17</t>
  </si>
  <si>
    <t>poll=0ms status=137ms monitor=12ms heartbeat=113ms shot=219ms kickoff=406ms</t>
  </si>
  <si>
    <t>2026-05-11 13:40:19</t>
  </si>
  <si>
    <t>poll=0ms status=121ms monitor=12ms heartbeat=109ms shot=0ms kickoff=289ms</t>
  </si>
  <si>
    <t>2026-05-11 13:40:20</t>
  </si>
  <si>
    <t>lum=57 target=60 deadzone=10 mode=1 stale=3 Tv=1/5000 ISO=100</t>
  </si>
  <si>
    <t>Shot Tv=1/5000 ISO=100 Lum=57 mode=brighten shot=2</t>
  </si>
  <si>
    <t>2026-05-11 13:40:23</t>
  </si>
  <si>
    <t>poll=0ms status=199ms monitor=8ms heartbeat=102ms shot=461ms kickoff=418ms</t>
  </si>
  <si>
    <t>2026-05-11 13:40:26</t>
  </si>
  <si>
    <t>poll=0ms status=125ms monitor=12ms heartbeat=113ms shot=426ms kickoff=285ms</t>
  </si>
  <si>
    <t>2026-05-11 13:40:29</t>
  </si>
  <si>
    <t>poll=0ms status=121ms monitor=12ms heartbeat=94ms shot=406ms kickoff=332ms</t>
  </si>
  <si>
    <t>2026-05-11 13:40:31</t>
  </si>
  <si>
    <t>poll=0ms status=113ms monitor=8ms heartbeat=113ms shot=0ms kickoff=328ms</t>
  </si>
  <si>
    <t>2026-05-11 13:40:32</t>
  </si>
  <si>
    <t>lum=1 target=60 deadzone=10 mode=1 stale=3 Tv=1/2500 ISO=100</t>
  </si>
  <si>
    <t>Shot Tv=1/2000 ISO=100 Lum=1 mode=brighten shot=6</t>
  </si>
  <si>
    <t>poll=4ms status=117ms monitor=4ms heartbeat=109ms shot=480ms kickoff=0ms</t>
  </si>
  <si>
    <t>2026-05-11 13:40:34</t>
  </si>
  <si>
    <t>poll=0ms status=160ms monitor=16ms heartbeat=105ms shot=0ms kickoff=359ms</t>
  </si>
  <si>
    <t>2026-05-11 13:40:35</t>
  </si>
  <si>
    <t>shot=7 Av=f1.8 Tv=1/1600 ISO=100 int=3.0s</t>
  </si>
  <si>
    <t>poll=4ms status=117ms monitor=12ms heartbeat=117ms shot=457ms kickoff=0ms</t>
  </si>
  <si>
    <t>2026-05-11 13:40:37</t>
  </si>
  <si>
    <t>poll=0ms status=168ms monitor=20ms heartbeat=94ms shot=0ms kickoff=430ms</t>
  </si>
  <si>
    <t>2026-05-11 13:40:38</t>
  </si>
  <si>
    <t>lum=2 target=60 deadzone=10 mode=1 stale=2 Tv=1/1600 ISO=100</t>
  </si>
  <si>
    <t>Shot Tv=1/1250 ISO=100 Lum=2 mode=brighten shot=8</t>
  </si>
  <si>
    <t>poll=4ms status=160ms monitor=0ms heartbeat=117ms shot=465ms kickoff=0ms</t>
  </si>
  <si>
    <t>2026-05-11 13:40:40</t>
  </si>
  <si>
    <t>poll=0ms status=184ms monitor=8ms heartbeat=105ms shot=0ms kickoff=398ms</t>
  </si>
  <si>
    <t>2026-05-11 13:40:41</t>
  </si>
  <si>
    <t>lum=3 target=60 deadzone=10 mode=1 stale=2 Tv=1/1250 ISO=100</t>
  </si>
  <si>
    <t>Shot Tv=1/1000 ISO=100 Lum=3 mode=brighten shot=9</t>
  </si>
  <si>
    <t>poll=4ms status=172ms monitor=0ms heartbeat=113ms shot=473ms kickoff=0ms</t>
  </si>
  <si>
    <t>2026-05-11 13:40:44</t>
  </si>
  <si>
    <t>lum=4 target=60 deadzone=10 mode=1 stale=1 Tv=1/1000 ISO=100</t>
  </si>
  <si>
    <t>Shot Tv=1/800 ISO=100 Lum=4 mode=brighten shot=10</t>
  </si>
  <si>
    <t>poll=0ms status=297ms monitor=12ms heartbeat=273ms shot=488ms kickoff=402ms</t>
  </si>
  <si>
    <t>2026-05-11 13:40:47</t>
  </si>
  <si>
    <t>lum=5 target=60 deadzone=10 mode=1 stale=2 Tv=1/800 ISO=100</t>
  </si>
  <si>
    <t>poll=0ms status=125ms monitor=8ms heartbeat=94ms shot=477ms kickoff=367ms</t>
  </si>
  <si>
    <t>2026-05-11 13:40:49</t>
  </si>
  <si>
    <t>poll=0ms status=125ms monitor=8ms heartbeat=109ms shot=0ms kickoff=324ms</t>
  </si>
  <si>
    <t>2026-05-11 13:40:50</t>
  </si>
  <si>
    <t>lum=6 target=60 deadzone=10 mode=1 stale=3 Tv=1/640 ISO=100</t>
  </si>
  <si>
    <t>Shot Tv=1/500 ISO=100 Lum=6 mode=brighten shot=12</t>
  </si>
  <si>
    <t>poll=0ms status=223ms monitor=4ms heartbeat=172ms shot=504ms kickoff=0ms</t>
  </si>
  <si>
    <t>2026-05-11 13:40:52</t>
  </si>
  <si>
    <t>poll=0ms status=137ms monitor=8ms heartbeat=125ms shot=0ms kickoff=348ms</t>
  </si>
  <si>
    <t>2026-05-11 13:40:53</t>
  </si>
  <si>
    <t>lum=8 target=60 deadzone=10 mode=1 stale=2 Tv=1/500 ISO=100</t>
  </si>
  <si>
    <t>Shot Tv=1/400 ISO=100 Lum=8 mode=brighten shot=13</t>
  </si>
  <si>
    <t>poll=0ms status=215ms monitor=4ms heartbeat=109ms shot=453ms kickoff=0ms</t>
  </si>
  <si>
    <t>2026-05-11 13:40:56</t>
  </si>
  <si>
    <t>lum=10 target=60 deadzone=10 mode=1 stale=1 Tv=1/400 ISO=100</t>
  </si>
  <si>
    <t>Shot Tv=1/320 ISO=100 Lum=10 mode=brighten shot=14</t>
  </si>
  <si>
    <t>poll=0ms status=207ms monitor=12ms heartbeat=109ms shot=492ms kickoff=367ms</t>
  </si>
  <si>
    <t>2026-05-11 13:40:59</t>
  </si>
  <si>
    <t>lum=12 target=60 deadzone=10 mode=1 stale=2 Tv=1/320 ISO=100</t>
  </si>
  <si>
    <t>Shot Tv=1/250 ISO=100 Lum=12 mode=brighten shot=15</t>
  </si>
  <si>
    <t>poll=0ms status=133ms monitor=16ms heartbeat=242ms shot=492ms kickoff=500ms</t>
  </si>
  <si>
    <t>2026-05-11 13:41:02</t>
  </si>
  <si>
    <t>lum=14 target=60 deadzone=10 mode=1 stale=2 Tv=1/250 ISO=100</t>
  </si>
  <si>
    <t>Shot Tv=1/200 ISO=100 Lum=14 mode=brighten shot=16</t>
  </si>
  <si>
    <t>poll=0ms status=172ms monitor=8ms heartbeat=102ms shot=461ms kickoff=434ms</t>
  </si>
  <si>
    <t>2026-05-11 13:41:05</t>
  </si>
  <si>
    <t>lum=17 target=60 deadzone=10 mode=1 stale=2 Tv=1/200 ISO=100</t>
  </si>
  <si>
    <t>2026-05-11 13:41:06</t>
  </si>
  <si>
    <t>Shot Tv=1/160 ISO=100 Lum=17 mode=brighten shot=17</t>
  </si>
  <si>
    <t>poll=0ms status=215ms monitor=8ms heartbeat=188ms shot=422ms kickoff=656ms</t>
  </si>
  <si>
    <t>2026-05-11 13:41:09</t>
  </si>
  <si>
    <t>lum=22 target=60 deadzone=10 mode=1 stale=0 Tv=1/160 ISO=100</t>
  </si>
  <si>
    <t>2026-05-11 13:41:12</t>
  </si>
  <si>
    <t>shot=18 Av=f1.8 Tv=1/125 ISO=100 int=6.0s</t>
  </si>
  <si>
    <t>Shot Tv=1/125 ISO=100 Lum=22 mode=brighten shot=18</t>
  </si>
  <si>
    <t>poll=0ms status=512ms monitor=12ms heartbeat=188ms shot=3738ms kickoff=0ms</t>
  </si>
  <si>
    <t>2026-05-11 13:41:15</t>
  </si>
  <si>
    <t>lum=22 target=60 deadzone=10 mode=1 stale=1 Tv=1/125 ISO=100</t>
  </si>
  <si>
    <t>2026-05-11 13:41:16</t>
  </si>
  <si>
    <t>Cadence slip 0.0s â€” resynced (interval=2.0s)</t>
  </si>
  <si>
    <t>Shot Tv=1/100 ISO=100 Lum=22 mode=brighten shot=19</t>
  </si>
  <si>
    <t>poll=0ms status=184ms monitor=8ms heartbeat=105ms shot=469ms kickoff=398ms</t>
  </si>
  <si>
    <t>2026-05-11 13:41:19</t>
  </si>
  <si>
    <t>lum=32 target=60 deadzone=10 mode=1 stale=1 Tv=1/100 ISO=100</t>
  </si>
  <si>
    <t>Shot Tv=1/80 ISO=100 Lum=32 mode=brighten shot=20</t>
  </si>
  <si>
    <t>poll=0ms status=117ms monitor=16ms heartbeat=148ms shot=484ms kickoff=0ms</t>
  </si>
  <si>
    <t>2026-05-11 13:41:21</t>
  </si>
  <si>
    <t>poll=0ms status=148ms monitor=8ms heartbeat=109ms shot=0ms kickoff=516ms</t>
  </si>
  <si>
    <t>2026-05-11 13:41:22</t>
  </si>
  <si>
    <t>lum=32 target=60 deadzone=10 mode=1 stale=5 Tv=1/80 ISO=100</t>
  </si>
  <si>
    <t>Shot Tv=1/60 ISO=100 Lum=32 mode=brighten shot=21</t>
  </si>
  <si>
    <t>poll=0ms status=133ms monitor=8ms heartbeat=148ms shot=590ms kickoff=0ms</t>
  </si>
  <si>
    <t>2026-05-11 13:41:25</t>
  </si>
  <si>
    <t>lum=41 target=60 deadzone=10 mode=1 stale=2 Tv=1/60 ISO=100</t>
  </si>
  <si>
    <t>shot=22 Av=f1.8 Tv=1/50 ISO=100 int=3.0s</t>
  </si>
  <si>
    <t>Shot Tv=1/50 ISO=100 Lum=41 mode=brighten shot=22</t>
  </si>
  <si>
    <t>poll=0ms status=117ms monitor=12ms heartbeat=102ms shot=500ms kickoff=355ms</t>
  </si>
  <si>
    <t>2026-05-11 13:41:28</t>
  </si>
  <si>
    <t>lum=50 target=60 deadzone=10 mode=1 stale=2 Tv=1/50 ISO=100</t>
  </si>
  <si>
    <t>shot=23 Av=f1.8 Tv=1/50 ISO=100 int=3.0s</t>
  </si>
  <si>
    <t>Shot Tv=1/50 ISO=100 Lum=50 mode=brighten shot=23</t>
  </si>
  <si>
    <t>poll=0ms status=141ms monitor=12ms heartbeat=117ms shot=145ms kickoff=535ms</t>
  </si>
  <si>
    <t>2026-05-11 13:41:31</t>
  </si>
  <si>
    <t>lum=62 target=60 deadzone=10 mode=1 stale=2 Tv=1/50 ISO=100</t>
  </si>
  <si>
    <t>shot=24 Av=f1.8 Tv=1/50 ISO=100 int=3.0s</t>
  </si>
  <si>
    <t>Shot Tv=1/50 ISO=100 Lum=62 mode=brighten shot=24</t>
  </si>
  <si>
    <t>poll=0ms status=117ms monitor=8ms heartbeat=105ms shot=152ms kickoff=371ms</t>
  </si>
  <si>
    <t>2026-05-11 13:41:34</t>
  </si>
  <si>
    <t>lum=63 target=60 deadzone=10 mode=1 stale=2 Tv=1/50 ISO=100</t>
  </si>
  <si>
    <t>shot=25 Av=f1.8 Tv=1/50 ISO=100 int=3.0s</t>
  </si>
  <si>
    <t>Shot Tv=1/50 ISO=100 Lum=63 mode=brighten shot=25</t>
  </si>
  <si>
    <t>poll=0ms status=137ms monitor=8ms heartbeat=105ms shot=121ms kickoff=484ms</t>
  </si>
  <si>
    <t>2026-05-11 13:41:37</t>
  </si>
  <si>
    <t>shot=26 Av=f1.8 Tv=1/50 ISO=100 int=3.0s</t>
  </si>
  <si>
    <t>Shot Tv=1/50 ISO=100 Lum=62 mode=brighten shot=26</t>
  </si>
  <si>
    <t>poll=0ms status=156ms monitor=0ms heartbeat=94ms shot=145ms kickoff=453ms</t>
  </si>
  <si>
    <t>2026-05-11 13:41:40</t>
  </si>
  <si>
    <t>shot=27 Av=f1.8 Tv=1/50 ISO=100 int=3.0s</t>
  </si>
  <si>
    <t>Shot Tv=1/50 ISO=100 Lum=63 mode=brighten shot=27</t>
  </si>
  <si>
    <t>poll=4ms status=113ms monitor=12ms heartbeat=105ms shot=129ms kickoff=363ms</t>
  </si>
  <si>
    <t>2026-05-11 13:41:41</t>
  </si>
  <si>
    <t>Integrate Bicycle</t>
  </si>
  <si>
    <t>RearSteps</t>
  </si>
  <si>
    <t>FrontSteps</t>
  </si>
  <si>
    <t>S</t>
  </si>
  <si>
    <t>Speed set to 0 m/hr</t>
  </si>
  <si>
    <t>T</t>
  </si>
  <si>
    <t>Steering centred</t>
  </si>
  <si>
    <t>Speed set to 100 m/hr</t>
  </si>
  <si>
    <t>X</t>
  </si>
  <si>
    <t>Stop</t>
  </si>
  <si>
    <t>2026-05-14 21:22:16</t>
  </si>
  <si>
    <t>BIKE</t>
  </si>
  <si>
    <t>SimulateCartLog: synthetic log written</t>
  </si>
  <si>
    <t>t_sec</t>
  </si>
  <si>
    <t>x_m</t>
  </si>
  <si>
    <t>y_m</t>
  </si>
  <si>
    <t>theta_deg</t>
  </si>
  <si>
    <t>segment_dist_m</t>
  </si>
  <si>
    <t>steering_deg</t>
  </si>
  <si>
    <t>speed_mhr</t>
  </si>
  <si>
    <t>2026-05-14 21:22:29</t>
  </si>
  <si>
    <t>IntegrateBicycle: 5 segments, end at (6.999, 2.000) m, heading 90.0Â°</t>
  </si>
  <si>
    <t>2026-05-14 21:32:45</t>
  </si>
  <si>
    <t>2026-05-14 21:33:11</t>
  </si>
  <si>
    <t>2026-05-14 21:33:16</t>
  </si>
  <si>
    <t>2026-05-14 21:33:31</t>
  </si>
  <si>
    <t>2026-05-14 21:44:09</t>
  </si>
  <si>
    <t>BTN</t>
  </si>
  <si>
    <t>RunButton IntegrateBicycle failed: Cannot run the macro 'IntegrateBicycle'. The macro may not be available in this workbook or all macros may be disabled.</t>
  </si>
  <si>
    <t>2026-05-14 21:44:21</t>
  </si>
  <si>
    <t>2026-05-14 21:44:30</t>
  </si>
  <si>
    <t>2026-05-14 21:45:04</t>
  </si>
  <si>
    <t>2026-05-14 21:45:08</t>
  </si>
  <si>
    <t>IntegrateBicycle: 36 segments, end at (6.999, 2.000) m, heading 90.0Â°</t>
  </si>
  <si>
    <t>Init Fallback Formula</t>
  </si>
  <si>
    <t>Push Formula to Cart</t>
  </si>
  <si>
    <t>Fallback Formula Parameters</t>
  </si>
  <si>
    <t>Parameter</t>
  </si>
  <si>
    <t>default</t>
  </si>
  <si>
    <t>-- Sunset Tv crossovers (t_rel sec) --</t>
  </si>
  <si>
    <t>Tv=1/5000 (ISO 100)</t>
  </si>
  <si>
    <t>Tv=1/4000 (ISO 100)</t>
  </si>
  <si>
    <t>Tv=1/3200 (ISO 100)</t>
  </si>
  <si>
    <t>Tv=1/2500 (ISO 100)</t>
  </si>
  <si>
    <t>Tv=1/2000 (ISO 100)</t>
  </si>
  <si>
    <t>Tv=1/1600 (ISO 100)</t>
  </si>
  <si>
    <t>Tv=1/1250 (ISO 100)</t>
  </si>
  <si>
    <t>Tv=1/1000 (ISO 100)</t>
  </si>
  <si>
    <t>Tv=1/800 (ISO 100)</t>
  </si>
  <si>
    <t>Tv=1/640 (ISO 100)</t>
  </si>
  <si>
    <t>Tv=1/500 (ISO 100)</t>
  </si>
  <si>
    <t>Tv=1/400 (ISO 100)</t>
  </si>
  <si>
    <t>Tv=1/320 (ISO 100)</t>
  </si>
  <si>
    <t>Tv=1/250 (ISO 100)</t>
  </si>
  <si>
    <t>Tv=1/200 (ISO 100)</t>
  </si>
  <si>
    <t>Tv=1/160 (ISO 100)</t>
  </si>
  <si>
    <t>Tv=1/125 (ISO 100)</t>
  </si>
  <si>
    <t>Tv=1/100 (ISO 100)</t>
  </si>
  <si>
    <t>Tv=1/80 (ISO 100)</t>
  </si>
  <si>
    <t>Tv=1/60 (ISO 100)</t>
  </si>
  <si>
    <t>Tv=1/50 (ISO 100)</t>
  </si>
  <si>
    <t>Tv=1/40 (ISO 100)</t>
  </si>
  <si>
    <t>Tv=1/30 (ISO 100)</t>
  </si>
  <si>
    <t>Tv=1/25 (ISO 100)</t>
  </si>
  <si>
    <t>Tv=1/20 (ISO 100)</t>
  </si>
  <si>
    <t>Tv=1/15 (ISO 100)</t>
  </si>
  <si>
    <t>Tv=1/13 (ISO 100)</t>
  </si>
  <si>
    <t>Tv=1/10 (ISO 100)</t>
  </si>
  <si>
    <t>Tv=1/8 (ISO 100)</t>
  </si>
  <si>
    <t>Tv=1/6 (ISO 100)</t>
  </si>
  <si>
    <t>Tv=1/5 (ISO 100)</t>
  </si>
  <si>
    <t>Tv=1/4 (ISO 100)</t>
  </si>
  <si>
    <t>Tv=0.3 (ISO 100)</t>
  </si>
  <si>
    <t>Tv=0.4 (ISO 100)</t>
  </si>
  <si>
    <t>Tv=0.5 (ISO 100)</t>
  </si>
  <si>
    <t>Tv=0.6 (ISO 100)</t>
  </si>
  <si>
    <t>Tv=0.8 (ISO 100)</t>
  </si>
  <si>
    <t>Tv=1 (ISO 100)</t>
  </si>
  <si>
    <t>Tv=1.3 (ISO 100)</t>
  </si>
  <si>
    <t>Tv=1.6 (ISO 100)</t>
  </si>
  <si>
    <t>Tv=2 (ISO 100)</t>
  </si>
  <si>
    <t>Tv=2.5 (ISO 100)</t>
  </si>
  <si>
    <t>Tv=3.2 (ISO 100)</t>
  </si>
  <si>
    <t>Tv=4 (ISO 100)</t>
  </si>
  <si>
    <t>Tv=5 (ISO 100)</t>
  </si>
  <si>
    <t>Tv=6 (ISO 100)</t>
  </si>
  <si>
    <t>Tv=8 (ISO 100)</t>
  </si>
  <si>
    <t>Tv=10 (ISO 100)</t>
  </si>
  <si>
    <t>Tv=13 (ISO 100)</t>
  </si>
  <si>
    <t>Tv=15 (ISO 100)</t>
  </si>
  <si>
    <t>Tv=20 (ISO 100)</t>
  </si>
  <si>
    <t>-- Sunset ISO ramp (Tv pinned at ceiling) --</t>
  </si>
  <si>
    <t>ISO=125 at t_rel (sec)</t>
  </si>
  <si>
    <t>ISO=160 at t_rel (sec)</t>
  </si>
  <si>
    <t>ISO=200 at t_rel (sec)</t>
  </si>
  <si>
    <t>ISO=250 at t_rel (sec)</t>
  </si>
  <si>
    <t>ISO=320 at t_rel (sec)</t>
  </si>
  <si>
    <t>ISO=400 at t_rel (sec)</t>
  </si>
  <si>
    <t>ISO=500 at t_rel (sec)</t>
  </si>
  <si>
    <t>ISO=640 at t_rel (sec)</t>
  </si>
  <si>
    <t>ISO=800 at t_rel (sec)</t>
  </si>
  <si>
    <t>ISO=1000 at t_rel (sec)</t>
  </si>
  <si>
    <t>ISO=1250 at t_rel (sec)</t>
  </si>
  <si>
    <t>ISO=1600 at t_rel (sec)</t>
  </si>
  <si>
    <t>-- Policy ceilings (fixed, not refit) --</t>
  </si>
  <si>
    <t>Tv ceiling (sec)</t>
  </si>
  <si>
    <t>ISO ceiling</t>
  </si>
  <si>
    <t>ISO base (Tv-only phase)</t>
  </si>
  <si>
    <t>t_rel (sec)</t>
  </si>
  <si>
    <t>Tv</t>
  </si>
  <si>
    <t>Branch in use</t>
  </si>
  <si>
    <t>Active branch</t>
  </si>
  <si>
    <t>2026-05-17 15:44:55</t>
  </si>
  <si>
    <t>FORMULA</t>
  </si>
  <si>
    <t>InitFallbackFormula complete; default column seeded from Appendix A</t>
  </si>
  <si>
    <t>2026-05-17 15:48:13</t>
  </si>
  <si>
    <t>POST /exposure/load branch=default bytes=937</t>
  </si>
  <si>
    <t>2026-05-17 15:48:34</t>
  </si>
  <si>
    <t>POST /exposure/load HTTP 0</t>
  </si>
  <si>
    <t>-- Sunrise ISO ramp (deep dark to ISO base) --</t>
  </si>
  <si>
    <t>ISO=300 at t_rel (sec)</t>
  </si>
  <si>
    <t>ISO=100 at t_rel (sec)</t>
  </si>
  <si>
    <t>-- Sunrise Tv crossovers (t_rel sec) --</t>
  </si>
  <si>
    <t>Tv=3 (ISO 100)</t>
  </si>
  <si>
    <t>-- Live evaluator (pick event, scrub t_rel) --</t>
  </si>
  <si>
    <t>Sun event</t>
  </si>
  <si>
    <t>2026-05-17 16:04:14</t>
  </si>
  <si>
    <t>2026-05-17 16:07:31</t>
  </si>
  <si>
    <t>Init Calibration Sheet</t>
  </si>
  <si>
    <t>Match Waypoints to Log</t>
  </si>
  <si>
    <t>Cart Calibration Test (workfront #29)</t>
  </si>
  <si>
    <t>-- Test metadata --</t>
  </si>
  <si>
    <t>Date / time</t>
  </si>
  <si>
    <t>Surface</t>
  </si>
  <si>
    <t>grass</t>
  </si>
  <si>
    <t>Weather</t>
  </si>
  <si>
    <t>Servo offset commanded (deg)</t>
  </si>
  <si>
    <t>Turn direction (L or R)</t>
  </si>
  <si>
    <t>L</t>
  </si>
  <si>
    <t>-- Rear-axle (x, y) measurements (peg = origin, mm) --</t>
  </si>
  <si>
    <t>x (mm)</t>
  </si>
  <si>
    <t>y (mm)</t>
  </si>
  <si>
    <t>Point 1 (approx 0Â°)</t>
  </si>
  <si>
    <t>Point 2 (approx 45Â°)</t>
  </si>
  <si>
    <t>Point 3 (approx 90Â°)</t>
  </si>
  <si>
    <t>Point 4 (approx 135Â°)</t>
  </si>
  <si>
    <t>Point 5 (approx 180Â°)</t>
  </si>
  <si>
    <t>Point 6 (approx 225Â°)</t>
  </si>
  <si>
    <t>Point 7 (approx 270Â°)</t>
  </si>
  <si>
    <t>Point 8 (approx 315Â°)</t>
  </si>
  <si>
    <t>-- Calibration results (computed live) --</t>
  </si>
  <si>
    <t>Fitted centre x (mm)</t>
  </si>
  <si>
    <t>Fitted centre y (mm)</t>
  </si>
  <si>
    <t>Fitted radius R (mm)</t>
  </si>
  <si>
    <t>Fitted diameter (mm)</t>
  </si>
  <si>
    <t>Radius scatter Â± (mm)</t>
  </si>
  <si>
    <t>Centre offset from peg (mm)</t>
  </si>
  <si>
    <t>Implied wheel angle (deg)</t>
  </si>
  <si>
    <t>Implied SERVO_TO_DEG</t>
  </si>
  <si>
    <t>Current constant (day-9 first est.)</t>
  </si>
  <si>
    <t>-- Log waypoint comparison (bicycle model vs ground truth) --</t>
  </si>
  <si>
    <t>After pulling CartLog and running IntegrateBicycle: click "Match Waypoints to Log" to auto-fill row numbers.</t>
  </si>
  <si>
    <t>Waypoint</t>
  </si>
  <si>
    <t>CartLog row</t>
  </si>
  <si>
    <t>x_log (mm)</t>
  </si>
  <si>
    <t>y_log (mm)</t>
  </si>
  <si>
    <t>Î”x (mm)</t>
  </si>
  <si>
    <t>Î”y (mm)</t>
  </si>
  <si>
    <t>|Î”| (mm)</t>
  </si>
  <si>
    <t>Waypoint 1</t>
  </si>
  <si>
    <t>Waypoint 2</t>
  </si>
  <si>
    <t>Waypoint 3</t>
  </si>
  <si>
    <t>Waypoint 4</t>
  </si>
  <si>
    <t>Waypoint 5</t>
  </si>
  <si>
    <t>Waypoint 6</t>
  </si>
  <si>
    <t>Waypoint 7</t>
  </si>
  <si>
    <t>Waypoint 8</t>
  </si>
  <si>
    <t>Bicycle-model fidelity summary</t>
  </si>
  <si>
    <t>Max |Î”| across 8 points (mm)</t>
  </si>
  <si>
    <t>RMS |Î”| across 8 points (mm)</t>
  </si>
  <si>
    <t>Steer left 5 deg</t>
  </si>
  <si>
    <t>Steer centre</t>
  </si>
  <si>
    <t>Steer right 8 deg</t>
  </si>
  <si>
    <t>Steer right 2 deg</t>
  </si>
  <si>
    <t>Steer left 3 deg</t>
  </si>
  <si>
    <t>2026-05-18 20:39:52</t>
  </si>
  <si>
    <t>SimulateWobblyRecon: 16-row synthetic log written</t>
  </si>
  <si>
    <t>2026-05-18 20:41:37</t>
  </si>
  <si>
    <t>IntegrateBicycle: 190 segments, end at (17.844, -20.607) m, heading -29.6Â°</t>
  </si>
  <si>
    <t>2026-05-18 20:52:56</t>
  </si>
  <si>
    <t>2026-05-18 20:54:17</t>
  </si>
  <si>
    <t>2026-05-18 20:54:26</t>
  </si>
  <si>
    <t>CartLogRow</t>
  </si>
  <si>
    <t>2026-05-18 20:54:29</t>
  </si>
  <si>
    <t>00:00:00</t>
  </si>
  <si>
    <t>00:00:01</t>
  </si>
  <si>
    <t>00:02:01</t>
  </si>
  <si>
    <t>00:05:01</t>
  </si>
  <si>
    <t>00:08:01</t>
  </si>
  <si>
    <t>00:11:31</t>
  </si>
  <si>
    <t>00:12:31</t>
  </si>
  <si>
    <t>00:14:31</t>
  </si>
  <si>
    <t>00:15:31</t>
  </si>
  <si>
    <t>00:16:15</t>
  </si>
  <si>
    <t>00:17:01</t>
  </si>
  <si>
    <t>00:18:01</t>
  </si>
  <si>
    <t>2026-05-18 20:58:07</t>
  </si>
  <si>
    <t>2026-05-18 20:58:10</t>
  </si>
  <si>
    <t>Smooth Selection</t>
  </si>
  <si>
    <t>Commit Smooth</t>
  </si>
  <si>
    <t>Discard Smooth</t>
  </si>
  <si>
    <t>2026-05-18 21:18:01</t>
  </si>
  <si>
    <t>RunButton btnSmoothSelection failed: Cannot run the macro 'btnSmoothSelection'. The macro may not be available in this workbook or all macros may be disabled.</t>
  </si>
  <si>
    <t>2026-05-18 21:18:10</t>
  </si>
  <si>
    <t>2026-05-18 21:22:09</t>
  </si>
  <si>
    <t>2026-05-18 21:22:26</t>
  </si>
  <si>
    <t>2026-05-18 21:30:38</t>
  </si>
  <si>
    <t>2026-05-18 21:32:15</t>
  </si>
  <si>
    <t>SMOOTH</t>
  </si>
  <si>
    <t>selAddress='$5:$8'</t>
  </si>
  <si>
    <t>Proposal: rows 5-8 R=-9.27m steer=-3.03Â° dev=544mm</t>
  </si>
  <si>
    <t>2026-05-18 21:35:52</t>
  </si>
  <si>
    <t>2026-05-18 21:36:36</t>
  </si>
  <si>
    <t>2026-05-18 21:37:29</t>
  </si>
  <si>
    <t>Discarded pending proposal</t>
  </si>
  <si>
    <t>2026-05-18 21:37:57</t>
  </si>
  <si>
    <t>2026-05-18 21:39:59</t>
  </si>
  <si>
    <t>2026-05-18 21:40:07</t>
  </si>
  <si>
    <t>2026-05-18 21:49:39</t>
  </si>
  <si>
    <t>2026-05-18 21:49:53</t>
  </si>
  <si>
    <t>selAddress='$8:$11'</t>
  </si>
  <si>
    <t>Proposal: rows 8-11 R=97.90m steer=0.29Â° dev=173mm</t>
  </si>
  <si>
    <t>2026-05-18 21:50:00</t>
  </si>
  <si>
    <t>2026-05-18 21:50:03</t>
  </si>
  <si>
    <t>selAddress='$8:$12'</t>
  </si>
  <si>
    <t>Proposal: rows 8-12 R=125.92m steer=0.22Â° dev=222mm</t>
  </si>
  <si>
    <t>2026-05-18 21:50:19</t>
  </si>
  <si>
    <t>2026-05-18 21:50:23</t>
  </si>
  <si>
    <t>Smoothed: enter arc steer=0.29</t>
  </si>
  <si>
    <t>Smoothed: exit arc, steer centre</t>
  </si>
  <si>
    <t>2026-05-18 21:52:04</t>
  </si>
  <si>
    <t>IntegrateBicycle: 212 segments, end at (17.674, -20.639) m, heading -29.6Â°</t>
  </si>
  <si>
    <t>Committed: rows 8-11 -&gt; 2 rows, steer=0.29</t>
  </si>
  <si>
    <t>Gimbal yaw envelope min (Â°)</t>
  </si>
  <si>
    <t>Gimbal yaw envelope max (Â°)</t>
  </si>
  <si>
    <t>2026-05-21 10:27:01</t>
  </si>
  <si>
    <t>GIMBAL</t>
  </si>
  <si>
    <t>Move to Yaw=0 Pitch=0 Roll=0 Time=2s</t>
  </si>
  <si>
    <t>2026-05-21 10:28:09</t>
  </si>
  <si>
    <t>Move REFUSED â€” yaw=300.0 outside envelope [-225.0, 225.0]</t>
  </si>
  <si>
    <t>2026-05-21 10:29:23</t>
  </si>
  <si>
    <t>Move to Yaw=300 Pitch=0 Roll=0 Time=2s</t>
  </si>
  <si>
    <t>2026-05-21 10:49:17</t>
  </si>
  <si>
    <t>2026-05-21 10:50:30</t>
  </si>
  <si>
    <t>2026-05-21 10:51:07</t>
  </si>
  <si>
    <t>Move to Yaw=170 Pitch=0 Roll=0 Time=2s</t>
  </si>
  <si>
    <t>2026-05-21 10:51:43</t>
  </si>
  <si>
    <t>Move to Yaw=190 Pitch=0 Roll=0 Time=2s</t>
  </si>
  <si>
    <t>2026-05-21 10:52:08</t>
  </si>
  <si>
    <t>2026-05-21 14:16:27</t>
  </si>
  <si>
    <t>POST /exposure/load branch=default bytes=1850</t>
  </si>
  <si>
    <t>POST /exposure/load OK</t>
  </si>
  <si>
    <t>2026-05-21 14:20:40</t>
  </si>
  <si>
    <t>2026-05-21 14:20:41</t>
  </si>
  <si>
    <t>2026-05-21 14:21:54</t>
  </si>
  <si>
    <t>2026-05-21 14:21:55</t>
  </si>
  <si>
    <t>2026-05-21 14:28:27</t>
  </si>
  <si>
    <t>GET /exposure/load branch=default url_bytes=1323</t>
  </si>
  <si>
    <t xml:space="preserve">GET /exposure/load OK {"ok":true,"branch":"default","sstv":51,"ssiso":12,"srtv":49,"sriso":14,"tvc":20,"isoc":1600,"isob":100}_x000D_
</t>
  </si>
  <si>
    <t>2026-05-21 15:03:51</t>
  </si>
  <si>
    <t>GET /exposure/load branch=default url_bytes=1358</t>
  </si>
  <si>
    <t>2026-05-21 15:03:52</t>
  </si>
  <si>
    <t xml:space="preserve">GET /exposure/load OK {"ok":true,"branch":"default","sstv":51,"ssiso":12,"srtv":49,"sriso":14,"tvc":20,"isoc":1600,"isob":100,"anchor":true,"t0ss":855487,"t0sr":893136,"cross":5138,"cur_event":"sunrise","trel_now":32767}_x000D_
</t>
  </si>
  <si>
    <t>2026-05-21 15:04:39</t>
  </si>
  <si>
    <t>GetSunsetTime HTTP 521</t>
  </si>
  <si>
    <t>2026-05-21 15:06:11</t>
  </si>
  <si>
    <t>2026-05-21 15:06:56</t>
  </si>
  <si>
    <t>2026-05-21 15:07:35</t>
  </si>
  <si>
    <t>2026-05-21 15:09:10</t>
  </si>
  <si>
    <t>GET /exposure/load branch=default url_bytes=1357</t>
  </si>
  <si>
    <t xml:space="preserve">GET /exposure/load OK {"ok":true,"branch":"default","sstv":51,"ssiso":12,"srtv":49,"sriso":14,"tvc":20,"isoc":1600,"isob":100,"anchor":true,"t0ss":-8150,"t0sr":-57650,"cross":5400,"cur_event":"sunset","trel_now":-8150}_x000D_
</t>
  </si>
  <si>
    <t>2026-05-21 15:10:21</t>
  </si>
  <si>
    <t>GET /exposure/load branch=default url_bytes=1359</t>
  </si>
  <si>
    <t xml:space="preserve">GET /exposure/load OK {"ok":true,"branch":"default","sstv":51,"ssiso":12,"srtv":49,"sriso":14,"tvc":20,"isoc":1600,"isob":100,"anchor":true,"t0ss":-8079,"t0sr":-57579,"cross":-12300,"cur_event":"sunrise","trel_now":-32768}_x000D_
</t>
  </si>
  <si>
    <t>2026-05-21 15:11:28</t>
  </si>
  <si>
    <t>2026-05-21 15:11:29</t>
  </si>
  <si>
    <t xml:space="preserve">GET /exposure/load OK {"ok":true,"branch":"default","sstv":51,"ssiso":12,"srtv":49,"sriso":14,"tvc":20,"isoc":1600,"isob":100,"anchor":true,"t0ss":-8012,"t0sr":-57512,"cross":5400,"cur_event":"sunset","trel_now":-8012}_x000D_
</t>
  </si>
  <si>
    <t>2026-05-21 15:11:35</t>
  </si>
  <si>
    <t>2026-05-21 15:11:36</t>
  </si>
  <si>
    <t xml:space="preserve">GET /exposure/load OK {"ok":true,"branch":"default","sstv":51,"ssiso":12,"srtv":49,"sriso":14,"tvc":20,"isoc":1600,"isob":100,"anchor":true,"t0ss":-8005,"t0sr":-57505,"cross":5400,"cur_event":"sunset","trel_now":-8005}_x000D_
</t>
  </si>
  <si>
    <t>2026-05-21 19:52:54</t>
  </si>
  <si>
    <t>GET /exposure/load branch=default url_bytes=1356</t>
  </si>
  <si>
    <t>2026-05-21 19:52:55</t>
  </si>
  <si>
    <t xml:space="preserve">GET /exposure/load OK {"ok":true,"branch":"default","sstv":51,"ssiso":12,"srtv":49,"sriso":14,"tvc":20,"isoc":1600,"isob":100,"anchor":true,"t0ss":8874,"t0sr":-40626,"cross":5400,"cur_event":"sunrise","trel_now":-32768}_x000D_
</t>
  </si>
  <si>
    <t>2026-05-21 19:55:58</t>
  </si>
  <si>
    <t>2026-05-21 19:55:59</t>
  </si>
  <si>
    <t xml:space="preserve">GET /exposure/load OK {"ok":true,"branch":"default","sstv":51,"ssiso":12,"srtv":49,"sriso":14,"tvc":20,"isoc":1600,"isob":100,"anchor":true,"t0ss":9058,"t0sr":-40442,"cross":5400,"cur_event":"sunrise","trel_now":-32768}_x000D_
</t>
  </si>
  <si>
    <t>2026-05-21 19:58:20</t>
  </si>
  <si>
    <t>2026-05-21 19:58:21</t>
  </si>
  <si>
    <t xml:space="preserve">GET /exposure/load OK {"ok":true,"branch":"default","sstv":51,"ssiso":12,"srtv":49,"sriso":14,"tvc":20,"isoc":1600,"isob":100,"anchor":true,"t0ss":9200,"t0sr":-40300,"cross":5400,"cur_event":"sunrise","trel_now":-32768}_x000D_
</t>
  </si>
  <si>
    <t>2026-05-21 19:59:22</t>
  </si>
  <si>
    <t xml:space="preserve">GET /exposure/load OK {"ok":true,"branch":"default","sstv":51,"ssiso":12,"srtv":49,"sriso":14,"tvc":20,"isoc":1600,"isob":100,"anchor":true,"t0ss":9262,"t0sr":-40238,"cross":5400,"cur_event":"sunrise","trel_now":-32768}_x000D_
</t>
  </si>
  <si>
    <t>2026-05-21 20:02:50</t>
  </si>
  <si>
    <t>2026-05-21 20:02:51</t>
  </si>
  <si>
    <t xml:space="preserve">GET /exposure/load OK {"ok":true,"branch":"default","sstv":51,"ssiso":12,"srtv":49,"sriso":14,"tvc":20,"isoc":1600,"isob":100,"anchor":true,"t0ss":9470,"t0sr":-40030,"cross":5400,"cur_event":"sunrise","trel_now":-32768}_x000D_
</t>
  </si>
  <si>
    <t>2026-05-21 20:09:54</t>
  </si>
  <si>
    <t xml:space="preserve">GET /exposure/load OK {"ok":true,"branch":"default","sstv":51,"ssiso":12,"srtv":49,"sriso":14,"tvc":20,"isoc":1600,"isob":100,"anchor":true,"t0ss":9894,"t0sr":-39606,"cross":5400,"cur_event":"sunrise","trel_now":-32768}_x000D_
</t>
  </si>
  <si>
    <t>2026-05-21 22:17:09</t>
  </si>
  <si>
    <t xml:space="preserve">GET /exposure/load OK {"ok":true,"branch":"default","sstv":51,"ssiso":12,"srtv":49,"sriso":14,"tvc":20,"isoc":1600,"isob":100,"anchor":true,"t0ss":17529,"t0sr":-31971,"cross":5400,"cur_event":"sunrise","trel_now":-31971}_x000D_
</t>
  </si>
  <si>
    <t>2026-05-21 22:19:55</t>
  </si>
  <si>
    <t xml:space="preserve">GET /exposure/load OK {"ok":true,"branch":"default","sstv":51,"ssiso":12,"srtv":49,"sriso":14,"tvc":20,"isoc":1600,"isob":100,"anchor":true,"t0ss":17695,"t0sr":-31805,"cross":5400,"cur_event":"sunrise","trel_now":-31805}_x000D_
</t>
  </si>
  <si>
    <t>2026-05-21 22:36:24</t>
  </si>
  <si>
    <t xml:space="preserve">GET /exposure/load OK {"ok":true,"branch":"default","sstv":51,"ssiso":12,"srtv":49,"sriso":14,"tvc":20,"isoc":1600,"isob":100,"anchor":true,"t0ss":18684,"t0sr":-30816,"cross":5400,"cur_event":"sunrise","trel_now":-30816}_x000D_
</t>
  </si>
  <si>
    <t>2026-05-21 22:41:14</t>
  </si>
  <si>
    <t xml:space="preserve">GET /exposure/load OK {"ok":true,"branch":"default","sstv":51,"ssiso":12,"srtv":49,"sriso":14,"tvc":20,"isoc":1600,"isob":100,"anchor":true,"t0ss":18974,"t0sr":-30526,"cross":5400,"cur_event":"sunrise","trel_now":-30526}_x000D_
</t>
  </si>
  <si>
    <t>2026-05-21 22:44:37</t>
  </si>
  <si>
    <t>2026-05-21 22:44:38</t>
  </si>
  <si>
    <t xml:space="preserve">GET /exposure/load OK {"ok":true,"branch":"default","sstv":51,"ssiso":12,"srtv":49,"sriso":14,"tvc":20,"isoc":1600,"isob":100,"anchor":true,"t0ss":19177,"t0sr":-30323,"cross":5400,"cur_event":"sunrise","trel_now":-30323}_x000D_
</t>
  </si>
  <si>
    <t>2026-05-21 22:50:20</t>
  </si>
  <si>
    <t>2026-05-21 22:50:21</t>
  </si>
  <si>
    <t xml:space="preserve">GET /exposure/load OK {"ok":true,"branch":"default","sstv":51,"ssiso":12,"srtv":49,"sriso":14,"tvc":20,"isoc":1600,"isob":100,"anchor":true,"t0ss":19520,"t0sr":-29980,"cross":5400,"cur_event":"sunrise","trel_now":-29980}_x000D_
</t>
  </si>
  <si>
    <t>2026-05-22 11:35:23</t>
  </si>
  <si>
    <t>2026-05-22 11:35:24</t>
  </si>
  <si>
    <t>Sunset: 17:18:02 Civil dusk: 17:43:56 Astro dark: 18:45:05</t>
  </si>
  <si>
    <t>Phase times calculated from sunset 17:18:02</t>
  </si>
  <si>
    <t>2026-05-22 11:35:26</t>
  </si>
  <si>
    <t>2026-05-22 11:35:30</t>
  </si>
  <si>
    <t>1/5000</t>
  </si>
  <si>
    <t>2026-05-22 11:35:31</t>
  </si>
  <si>
    <t>InitShoot complete. Sunset: 17:18:02</t>
  </si>
  <si>
    <t>2026-05-22 11:39:36</t>
  </si>
  <si>
    <t>2026-05-22 11:39:37</t>
  </si>
  <si>
    <t xml:space="preserve">GET /exposure/load OK {"ok":true,"branch":"default","sstv":51,"ssiso":12,"srtv":49,"sriso":14,"tvc":20,"isoc":1600,"isob":100,"anchor":true,"t0ss":-20306,"t0sr":16388,"cross":5223,"cur_event":"sunset","trel_now":-20306}_x000D_
</t>
  </si>
  <si>
    <t>2026-05-22 11:56:39</t>
  </si>
  <si>
    <t>2026-05-22 11:56:43</t>
  </si>
  <si>
    <t xml:space="preserve">GET /exposure/load OK {"ok":true,"branch":"default","sstv":51,"ssiso":12,"srtv":49,"sriso":14,"tvc":20,"isoc":1600,"isob":100,"anchor":true,"t0ss":-19283,"t0sr":17411,"cross":5223,"cur_event":"sunset","trel_now":-19283}_x000D_
</t>
  </si>
  <si>
    <t>2026-05-22 12:00:38</t>
  </si>
  <si>
    <t>2026-05-22 12:00:39</t>
  </si>
  <si>
    <t xml:space="preserve">GET /exposure/load OK {"ok":true,"branch":"default","sstv":51,"ssiso":12,"srtv":49,"sriso":14,"tvc":20,"isoc":1600,"isob":100,"anchor":true,"t0ss":-19044,"t0sr":17650,"cross":5223,"cur_event":"sunset","trel_now":-19044}_x000D_
</t>
  </si>
  <si>
    <t>2026-05-22 12:07:49</t>
  </si>
  <si>
    <t xml:space="preserve">GET /exposure/load OK {"ok":true,"branch":"default","sstv":51,"ssiso":12,"srtv":49,"sriso":14,"tvc":20,"isoc":1600,"isob":100,"anchor":true,"t0ss":-18613,"t0sr":18081,"cross":5223,"cur_event":"sunset","trel_now":-18613}_x000D_
</t>
  </si>
  <si>
    <t>2026-05-22 14:00:30</t>
  </si>
  <si>
    <t xml:space="preserve">GET /exposure/load OK {"ok":true,"branch":"default","sstv":51,"ssiso":12,"srtv":49,"sriso":14,"tvc":20,"isoc":1600,"isob":100,"anchor":true,"t0ss":-11852,"t0sr":24842,"cross":5223,"cur_event":"sunset","trel_now":-11852}_x000D_
</t>
  </si>
  <si>
    <t>2026-05-22 15:04:49</t>
  </si>
  <si>
    <t>2026-05-22 15:04:50</t>
  </si>
  <si>
    <t xml:space="preserve">GET /exposure/load OK {"ok":true,"branch":"default","sstv":51,"ssiso":12,"srtv":49,"sriso":14,"tvc":20,"isoc":1600,"isob":100,"anchor":true,"t0ss":-7993,"t0sr":28701,"cross":5223,"cur_event":"sunset","trel_now":-7993}_x000D_
</t>
  </si>
  <si>
    <t>2026-05-22 16:20:14</t>
  </si>
  <si>
    <t xml:space="preserve">GET /exposure/load OK {"ok":true,"branch":"default","sstv":51,"ssiso":12,"srtv":49,"sriso":14,"tvc":20,"isoc":1600,"isob":100,"anchor":true,"t0ss":-3468,"t0sr":33226,"cross":5223,"cur_event":"sunset","trel_now":-3468}_x000D_
</t>
  </si>
  <si>
    <t>2026-05-22 16:24:05</t>
  </si>
  <si>
    <t>2026-05-22 16:24:12</t>
  </si>
  <si>
    <t xml:space="preserve">GET /exposure/load OK {"ok":true,"branch":"default","sstv":51,"ssiso":12,"srtv":49,"sriso":14,"tvc":20,"isoc":1600,"isob":100,"anchor":true,"t0ss":-3237,"t0sr":33457,"cross":5223,"cur_event":"sunset","trel_now":-3237}_x000D_
</t>
  </si>
  <si>
    <t>2026-05-22 16:31:16</t>
  </si>
  <si>
    <t xml:space="preserve">GET /exposure/load OK {"ok":true,"branch":"default","sstv":51,"ssiso":12,"srtv":49,"sriso":14,"tvc":20,"isoc":1600,"isob":100,"anchor":true,"t0ss":-2806,"t0sr":33888,"cross":5223,"cur_event":"sunset","trel_now":-2806}_x000D_
</t>
  </si>
  <si>
    <t>2026-05-22 17:00:39</t>
  </si>
  <si>
    <t xml:space="preserve">GET /exposure/load OK {"ok":true,"branch":"default","sstv":51,"ssiso":12,"srtv":49,"sriso":14,"tvc":20,"isoc":1600,"isob":100,"anchor":true,"t0ss":-1043,"t0sr":35651,"cross":5223,"cur_event":"sunset","trel_now":-1043}_x000D_
</t>
  </si>
  <si>
    <t>2026-05-22 17:30:06</t>
  </si>
  <si>
    <t>GET /exposure/load branch=default url_bytes=1354</t>
  </si>
  <si>
    <t>2026-05-22 17:30:07</t>
  </si>
  <si>
    <t xml:space="preserve">GET /exposure/load OK {"ok":true,"branch":"default","sstv":51,"ssiso":12,"srtv":49,"sriso":14,"tvc":20,"isoc":1600,"isob":100,"anchor":true,"t0ss":724,"t0sr":37418,"cross":5223,"cur_event":"sunset","trel_now":724}_x000D_
</t>
  </si>
  <si>
    <t>2026-05-22 17:37:25</t>
  </si>
  <si>
    <t>GET /exposure/load branch=default url_bytes=1355</t>
  </si>
  <si>
    <t>2026-05-22 17:37:26</t>
  </si>
  <si>
    <t xml:space="preserve">GET /exposure/load OK {"ok":true,"branch":"default","sstv":51,"ssiso":12,"srtv":49,"sriso":14,"tvc":20,"isoc":1600,"isob":100,"anchor":true,"t0ss":1163,"t0sr":37857,"cross":5223,"cur_event":"sunset","trel_now":1163}_x000D_
</t>
  </si>
  <si>
    <t>2026-05-22 17:47:02</t>
  </si>
  <si>
    <t>2026-05-22 17:47:03</t>
  </si>
  <si>
    <t xml:space="preserve">GET /exposure/load OK {"ok":true,"branch":"default","sstv":51,"ssiso":12,"srtv":49,"sriso":14,"tvc":20,"isoc":1600,"isob":100,"anchor":true,"t0ss":1740,"t0sr":38434,"cross":5223,"cur_event":"sunset","trel_now":1740}_x000D_
</t>
  </si>
  <si>
    <t>2026-05-22 18:02:50</t>
  </si>
  <si>
    <t>2026-05-22 18:02:51</t>
  </si>
  <si>
    <t xml:space="preserve">GET /exposure/load OK {"ok":true,"branch":"default","sstv":51,"ssiso":12,"srtv":49,"sriso":14,"tvc":20,"isoc":1600,"isob":100,"anchor":true,"t0ss":2688,"t0sr":39382,"cross":5223,"cur_event":"sunset","trel_now":2688}_x000D_
</t>
  </si>
  <si>
    <t>2026-05-23 17:47:03</t>
  </si>
  <si>
    <t>Sunset: 17:17:29 Civil dusk: 17:43:25 Astro dark: 18:44:39</t>
  </si>
  <si>
    <t>Phase times calculated from sunset 17:17:29</t>
  </si>
  <si>
    <t>2026-05-23 17:47:05</t>
  </si>
  <si>
    <t>2026-05-23 17:47:26</t>
  </si>
  <si>
    <t xml:space="preserve">PUT /ccapi/ver100/shooting/settings/shootingmode - Connection failed: The operation timed out_x000D_
</t>
  </si>
  <si>
    <t>2026-05-23 17:48:07</t>
  </si>
  <si>
    <t xml:space="preserve">GET /ccapi/ver100/shooting/settings/tv - Connection failed: The operation timed out_x000D_
</t>
  </si>
  <si>
    <t>Tv lookup fallback used (60 values)</t>
  </si>
  <si>
    <t>InitShoot complete. Sunset: 17:17:29</t>
  </si>
  <si>
    <t>2026-05-23 17:48:19</t>
  </si>
  <si>
    <t>2026-05-23 17:48:21</t>
  </si>
  <si>
    <t>2026-05-23 17:48:22</t>
  </si>
  <si>
    <t>Init OK 17:48:22</t>
  </si>
  <si>
    <t>a</t>
  </si>
  <si>
    <t>2026-05-23 21:08:26</t>
  </si>
  <si>
    <t>ASTROPUSH</t>
  </si>
  <si>
    <t>Sun rise  yaw=65.5 pitch=-1.1</t>
  </si>
  <si>
    <t>Sun set   yaw=294.6 pitch=-1.1</t>
  </si>
  <si>
    <t>MW core never above horizon in dark window</t>
  </si>
  <si>
    <t>2026-05-23 21:08:34</t>
  </si>
  <si>
    <t>GET http://192.168.1.97/settings/astropos?sry=65.51&amp;srp=-1.07&amp;ssy=294.56&amp;ssp=-1.12</t>
  </si>
  <si>
    <t xml:space="preserve">OK {"mask":3,"sun_rise":{"y":65.51,"p":-1.07},"sun_set":{"y":294.56,"p":-1.12},"moon_rise":{"y":0.00,"p":0.00},"moon_set":{"y":0.00,"p":0.00},"mw_rise":{"y":0.00,"p":0.00},"mw_mid":{"y":0.00,"p":0.00},"mw_end":{"y":0.00,"p":0.00}}_x000D_
</t>
  </si>
  <si>
    <t>2026-05-23 21:16:08</t>
  </si>
  <si>
    <t>darkEnd shifted +24h (workaround #57)</t>
  </si>
  <si>
    <t>MW rise 18:44 yaw=123.7 pitch=3.1</t>
  </si>
  <si>
    <t>MW mid  01:54 yaw=3.0 pitch=84.1</t>
  </si>
  <si>
    <t>MW end  05:34 yaw=261.3 pitch=43.7</t>
  </si>
  <si>
    <t>GET http://192.168.1.97/settings/astropos?sry=65.51&amp;srp=-1.07&amp;ssy=294.56&amp;ssp=-1.12&amp;mry=123.67&amp;mrp=3.11&amp;mmy=3.02&amp;mmp=84.07&amp;mey=261.34&amp;mep=43.71</t>
  </si>
  <si>
    <t>2026-05-23 21:16:09</t>
  </si>
  <si>
    <t xml:space="preserve">OK {"mask":115,"sun_rise":{"y":65.51,"p":-1.07},"sun_set":{"y":294.56,"p":-1.12},"moon_rise":{"y":0.00,"p":0.00},"moon_set":{"y":0.00,"p":0.00},"mw_rise":{"y":123.67,"p":3.11},"mw_mid":{"y":3.02,"p":84.07},"mw_end":{"y":261.34,"p":43.71}}_x000D_
</t>
  </si>
  <si>
    <t>Push Astro to Cart</t>
  </si>
  <si>
    <t>2026-05-23 21:21:44</t>
  </si>
  <si>
    <t>Push Track Paths to Cart</t>
  </si>
  <si>
    <t>2026-05-23 21:33:26</t>
  </si>
  <si>
    <t>TRACKPUSH</t>
  </si>
  <si>
    <t>2026-05-23 21:34:49</t>
  </si>
  <si>
    <t>sun ay=252.448,-0.006456,-0.00000019,0.0000000000</t>
  </si>
  <si>
    <t>sun ap=-55.902,-0.002287,0.00000012,0.0000000000</t>
  </si>
  <si>
    <t>GET http://192.168.1.97/settings/trackpath?obj=sun&amp;ay0=252.448066662323&amp;ay1=-6.45570174668269E-03&amp;ay2=-1.94920286626494E-07&amp;ay3=6.91137330896362E-12&amp;ap0=-55.9020148460018&amp;ap1=-2.28655135655093E-03&amp;ap2=1.19082300497193E-07&amp;ap3=6.27067083127182E-14</t>
  </si>
  <si>
    <t>2026-05-23 21:34:50</t>
  </si>
  <si>
    <t>mw ay=118.155,-0.003107,-0.00000040,0.0000000000</t>
  </si>
  <si>
    <t>mw ap=35.557,0.003743,0.00000001,0.0000000000</t>
  </si>
  <si>
    <t>GET http://192.168.1.97/settings/trackpath?obj=mw&amp;ay0=118.155477255653&amp;ay1=-3.1068264783009E-03&amp;ay2=-3.99415465099912E-07&amp;ay3=7.48494835252318E-12&amp;ap0=35.5570381989089&amp;ap1=3.74271972432168E-03&amp;ap2=1.43136886704453E-08&amp;ap3=-5.00794694724177E-12</t>
  </si>
  <si>
    <t>2026-05-23 21:45:29</t>
  </si>
  <si>
    <t>sun ay=248.238,-0.006697,-0.00000018,0.0000000000</t>
  </si>
  <si>
    <t>sun ap=-57.317,-0.002134,0.00000012,0.0000000000</t>
  </si>
  <si>
    <t>GET http://192.168.1.97/settings/trackpath?obj=sun&amp;ay0=248.238389970151&amp;ay1=-6.69670701803918E-03&amp;ay2=-1.81650449873479E-07&amp;ay3=6.91137330896371E-12&amp;ap0=-57.3166151657035&amp;ap1=-2.13404895791356E-03&amp;ap2=1.19202697377152E-07&amp;ap3=6.27067083127079E-14</t>
  </si>
  <si>
    <t>mw ay=116.005,-0.003609,-0.00000039,0.0000000000</t>
  </si>
  <si>
    <t>mw ap=37.957,0.003755,0.00000000,0.0000000000</t>
  </si>
  <si>
    <t>GET http://192.168.1.97/settings/trackpath?obj=mw&amp;ay0=116.00546986937&amp;ay1=-3.60888076908604E-03&amp;ay2=-3.85044364263277E-07&amp;ay3=7.48494835252318E-12&amp;ap0=37.9569289060746&amp;ap1=0.003754887480611&amp;ap2=4.69843053188268E-09&amp;ap3=-5.00794694724184E-12</t>
  </si>
  <si>
    <t>2026-05-23 21:47:47</t>
  </si>
  <si>
    <t>sun ay=247.311,-0.006746,-0.00000018,0.0000000000</t>
  </si>
  <si>
    <t>sun ap=-57.609,-0.002101,0.00000012,0.0000000000</t>
  </si>
  <si>
    <t>GET http://192.168.1.97/settings/trackpath?obj=sun&amp;ay0=247.310803212743&amp;ay1=-6.74644768169529E-03&amp;ay2=-1.78789141319455E-07&amp;ay3=6.91137330896366E-12&amp;ap0=-57.6088436613458&amp;ap1=-2.10114543083051E-03&amp;ap2=1.19228657954431E-07&amp;ap3=6.27067083126992E-14</t>
  </si>
  <si>
    <t>mw ay=115.500,-0.003715,-0.00000038,0.0000000000</t>
  </si>
  <si>
    <t>mw ap=38.475,0.003756,0.00000000,0.0000000000</t>
  </si>
  <si>
    <t>GET http://192.168.1.97/settings/trackpath?obj=mw&amp;ay0=115.50013120861&amp;ay1=-3.71472538370495E-03&amp;ay2=-3.81945595640885E-07&amp;ay3=7.48494835252344E-12&amp;ap0=38.4751796948099&amp;ap1=3.75589813341385E-03&amp;ap2=2.62514049274401E-09&amp;ap3=-5.00794694724183E-12</t>
  </si>
  <si>
    <t>2026-05-23 22:40:01</t>
  </si>
  <si>
    <t>sun seg 0 pushed (ts=-19352 te=5538)</t>
  </si>
  <si>
    <t>sun seg 1 pushed (ts=5538 te=30429)</t>
  </si>
  <si>
    <t>mw seg 0 pushed (ts=-14122 te=5453)</t>
  </si>
  <si>
    <t>mw seg 1 FREEZE yaw=54.0</t>
  </si>
  <si>
    <t>mw seg 1 pushed (ts=5453 te=25029)</t>
  </si>
  <si>
    <t>2026-05-24 18:54:53</t>
  </si>
  <si>
    <t>2026-05-24 18:58:41</t>
  </si>
  <si>
    <t xml:space="preserve">GET /exposure/load OK {"ok":true,"branch":"default","sstv":51,"ssiso":12,"srtv":49,"sriso":14,"tvc":20,"isoc":1600,"isob":100,"anchor":true,"t0ss":92472,"t0sr":129091,"cross":5230,"cur_event":"sunrise","trel_now":32767}_x000D_
</t>
  </si>
  <si>
    <t>Moon set</t>
  </si>
  <si>
    <t>Moon Rise</t>
  </si>
  <si>
    <t>2026-05-24 19:41:04</t>
  </si>
  <si>
    <t>Sun (local): rise=07:09 set=17:15 civDusk=17:42 astroDusk=18:44</t>
  </si>
  <si>
    <t>2026-05-24 19:41:05</t>
  </si>
  <si>
    <t>FetchMoonTimesForNight error: Method 'Range' of object '_Worksheet' failed</t>
  </si>
  <si>
    <t>2026-05-24 19:41:50</t>
  </si>
  <si>
    <t>Moon (.io): rise=(none in window) set=02:11</t>
  </si>
  <si>
    <t>2026-05-24 19:41:59</t>
  </si>
  <si>
    <t>2026-05-24 19:42:00</t>
  </si>
  <si>
    <t>2026-05-24 19:51:41</t>
  </si>
  <si>
    <t>Moon (local): rise=(none in window) set=01:07</t>
  </si>
  <si>
    <t>2026-05-24 19:52:07</t>
  </si>
  <si>
    <t>Sun rise  yaw=65.1 pitch=-0.8</t>
  </si>
  <si>
    <t>Sun set   yaw=295.0 pitch=-0.8</t>
  </si>
  <si>
    <t>Moon set  01:07 yaw=274.9 pitch=-0.5</t>
  </si>
  <si>
    <t>2026-05-24 19:52:13</t>
  </si>
  <si>
    <t>GET http://192.168.1.97/settings/astropos?sry=65.08&amp;srp=-0.82&amp;ssy=295.01&amp;ssp=-0.84&amp;mnsy=274.90&amp;mnsp=-0.50</t>
  </si>
  <si>
    <t xml:space="preserve">OK {"mask":11,"sun_rise":{"y":65.08,"p":-0.82},"sun_set":{"y":295.01,"p":-0.84},"moon_rise":{"y":0.00,"p":0.00},"moon_set":{"y":274.90,"p":-0.50},"mw_rise":{"y":0.00,"p":0.00},"mw_mid":{"y":0.00,"p":0.00},"mw_end":{"y":0.00,"p":0.00}}_x000D_
</t>
  </si>
  <si>
    <t>2026-05-24 19:52:59</t>
  </si>
  <si>
    <t>sun seg 0 pushed (ts=-9451 te=3055)</t>
  </si>
  <si>
    <t>sun seg 1 pushed (ts=3055 te=15562)</t>
  </si>
  <si>
    <t>sun seg 2 pushed (ts=15562 te=28068)</t>
  </si>
  <si>
    <t>2026-05-24 19:53:00</t>
  </si>
  <si>
    <t>sun seg 3 pushed (ts=28068 te=40574)</t>
  </si>
  <si>
    <t>mw seg 0 too few samples</t>
  </si>
  <si>
    <t>2026-05-24 19:57:47</t>
  </si>
  <si>
    <t>sun seg 0 pushed (ts=-9739 te=2767)</t>
  </si>
  <si>
    <t>sun seg 1 pushed (ts=2767 te=15274)</t>
  </si>
  <si>
    <t>sun seg 2 pushed (ts=15274 te=27780)</t>
  </si>
  <si>
    <t>sun seg 3 pushed (ts=27780 te=40286)</t>
  </si>
  <si>
    <t>moon seg 0 pushed (ts=-9739 te=-2663)</t>
  </si>
  <si>
    <t>2026-05-24 19:57:48</t>
  </si>
  <si>
    <t>moon seg 1 pushed (ts=-2663 te=4413)</t>
  </si>
  <si>
    <t>moon seg 2 pushed (ts=4413 te=11488)</t>
  </si>
  <si>
    <t>moon seg 3 pushed (ts=11488 te=18564)</t>
  </si>
  <si>
    <t>2026-05-24 20:00:50</t>
  </si>
  <si>
    <t>Phase times calculated from sunset 17:15:28</t>
  </si>
  <si>
    <t>2026-05-24 20:01:49</t>
  </si>
  <si>
    <t>sun seg 0 pushed (ts=-9981 te=2525)</t>
  </si>
  <si>
    <t>sun seg 1 pushed (ts=2525 te=15032)</t>
  </si>
  <si>
    <t>sun seg 2 pushed (ts=15032 te=27538)</t>
  </si>
  <si>
    <t>2026-05-24 20:01:50</t>
  </si>
  <si>
    <t>sun seg 3 pushed (ts=27538 te=40044)</t>
  </si>
  <si>
    <t>mw seg 0 pushed (ts=-4656 te=5169)</t>
  </si>
  <si>
    <t>mw seg 1 pushed (ts=5169 te=14994)</t>
  </si>
  <si>
    <t>mw seg 2 FREEZE yaw=54.3</t>
  </si>
  <si>
    <t>mw seg 2 pushed (ts=14994 te=24819)</t>
  </si>
  <si>
    <t>mw seg 3 pushed (ts=24819 te=34644)</t>
  </si>
  <si>
    <t>moon seg 0 pushed (ts=-9981 te=-2905)</t>
  </si>
  <si>
    <t>moon seg 1 pushed (ts=-2905 te=4171)</t>
  </si>
  <si>
    <t>moon seg 2 pushed (ts=4171 te=11246)</t>
  </si>
  <si>
    <t>moon seg 3 pushed (ts=11246 te=18322)</t>
  </si>
  <si>
    <t>PLAN — combined cart + gimbal authoring surface</t>
  </si>
  <si>
    <t>LEFT — Cart Plan (editable)</t>
  </si>
  <si>
    <t>MIDDLE — Gimbal Plan (editable)</t>
  </si>
  <si>
    <t>Step</t>
  </si>
  <si>
    <t>Dist (m)</t>
  </si>
  <si>
    <t>Turn (°)</t>
  </si>
  <si>
    <t>Hold (s)</t>
  </si>
  <si>
    <t>Dist Σ (m)</t>
  </si>
  <si>
    <t>Arrives</t>
  </si>
  <si>
    <t>Note</t>
  </si>
  <si>
    <t>Anchor type</t>
  </si>
  <si>
    <t>Anchor ref</t>
  </si>
  <si>
    <t>Offset (min)</t>
  </si>
  <si>
    <t>Fires at</t>
  </si>
  <si>
    <t>Total dur</t>
  </si>
  <si>
    <t>Target</t>
  </si>
  <si>
    <t>Rate</t>
  </si>
  <si>
    <t>Ry (°)</t>
  </si>
  <si>
    <t>Rp (°)</t>
  </si>
  <si>
    <t>Δyaw (°)</t>
  </si>
  <si>
    <t>Δpitch (°)</t>
  </si>
  <si>
    <t>Ease</t>
  </si>
  <si>
    <t>Move t</t>
  </si>
  <si>
    <t>Log row#</t>
  </si>
  <si>
    <t>Time</t>
  </si>
  <si>
    <t>Astro tgt</t>
  </si>
  <si>
    <t>KF</t>
  </si>
  <si>
    <t>Label</t>
  </si>
  <si>
    <t>DRIVE</t>
  </si>
  <si>
    <t>Way01 start</t>
  </si>
  <si>
    <t>WP</t>
  </si>
  <si>
    <t>WP01</t>
  </si>
  <si>
    <t>Pan Follow</t>
  </si>
  <si>
    <t>—</t>
  </si>
  <si>
    <t>Computed</t>
  </si>
  <si>
    <t>none</t>
  </si>
  <si>
    <t>Follow cart heading during S-bend (cart frame)</t>
  </si>
  <si>
    <t>14:32:17</t>
  </si>
  <si>
    <t>marker</t>
  </si>
  <si>
    <t>Tree</t>
  </si>
  <si>
    <t>Way02</t>
  </si>
  <si>
    <t>WP05</t>
  </si>
  <si>
    <t>Track</t>
  </si>
  <si>
    <t>sun</t>
  </si>
  <si>
    <t>Cinematic ease</t>
  </si>
  <si>
    <t>Comfortable</t>
  </si>
  <si>
    <t>~19 min</t>
  </si>
  <si>
    <t>Slew to sun (Phase A) then track at sky rate (Phase B)</t>
  </si>
  <si>
    <t>14:45:02</t>
  </si>
  <si>
    <t>Harbour</t>
  </si>
  <si>
    <t>Way03 (+20° turn)</t>
  </si>
  <si>
    <t>sunset</t>
  </si>
  <si>
    <t>Move</t>
  </si>
  <si>
    <t>~12 min</t>
  </si>
  <si>
    <t>Sun bottom-left frame; held until plan end</t>
  </si>
  <si>
    <t>14:58:30</t>
  </si>
  <si>
    <t>Hill</t>
  </si>
  <si>
    <t>Way04</t>
  </si>
  <si>
    <t>END</t>
  </si>
  <si>
    <t>Plan ends 120 min after sunset</t>
  </si>
  <si>
    <t>15:10:45</t>
  </si>
  <si>
    <t>astro</t>
  </si>
  <si>
    <t>mid</t>
  </si>
  <si>
    <t>Sunset framed bottom-left</t>
  </si>
  <si>
    <t>Way05 (-20° turn) — GP2 fires here</t>
  </si>
  <si>
    <t>15:14:10</t>
  </si>
  <si>
    <t>MW</t>
  </si>
  <si>
    <t>rise</t>
  </si>
  <si>
    <t>MW just clearing horizon</t>
  </si>
  <si>
    <t>Way06 — final straight</t>
  </si>
  <si>
    <t>STOP</t>
  </si>
  <si>
    <t>Cart parked, T0-40</t>
  </si>
  <si>
    <t>Cell colour legend:</t>
  </si>
  <si>
    <t xml:space="preserve">  Pale yellow</t>
  </si>
  <si>
    <t xml:space="preserve">  = editable / seeded from CartLog</t>
  </si>
  <si>
    <t xml:space="preserve">  Light grey</t>
  </si>
  <si>
    <t xml:space="preserve">  = derived by formula (auto-updates when authored cells change)</t>
  </si>
  <si>
    <t xml:space="preserve">  Medium grey</t>
  </si>
  <si>
    <t xml:space="preserve">  = read-only reference from GimbalLog</t>
  </si>
  <si>
    <t>P3 — formulas live on derived columns:</t>
  </si>
  <si>
    <t>• Col B Step:    =ROW()-5</t>
  </si>
  <si>
    <t>• Col I Dist Σ:  =I_prev + IF(ISBLANK(D),0,D)</t>
  </si>
  <si>
    <t>• Col J Arrives: first row = dataShootStart; subsequent rows = J_prev + leg duration</t>
  </si>
  <si>
    <t xml:space="preserve">  where leg duration = D/E/24 days for DRIVE (D=m, E=m/hr), G/86400 for STOP</t>
  </si>
  <si>
    <t>• Edit a Speed or Distance cell and watch Dist Σ and Arrives update instantly.</t>
  </si>
  <si>
    <t>• Try changing E6 from 5 to 10 m/hr — total shoot time halves.</t>
  </si>
  <si>
    <t>Plan authoring (Session E)</t>
  </si>
  <si>
    <t>Shoot start anchor</t>
  </si>
  <si>
    <t>Wall-clock cart start (Way01); Plan times computed from here</t>
  </si>
  <si>
    <t>Location-dependent; placeholder</t>
  </si>
  <si>
    <t>Ease band durations (audience frames at 60fps)</t>
  </si>
  <si>
    <t>Ease: Just-perceptible</t>
  </si>
  <si>
    <t>Frames; ~3 = abrupt but noticed</t>
  </si>
  <si>
    <t>Ease: Comfortable</t>
  </si>
  <si>
    <t>Frames; comfortable cinematic</t>
  </si>
  <si>
    <t>Ease: Cinematic</t>
  </si>
  <si>
    <t>Frames; slow, deliberate</t>
  </si>
  <si>
    <t>NB: ease duration = frames x cadence_sec (cadence from Tv at fire time)</t>
  </si>
  <si>
    <t>2026-05-27 20:09:26</t>
  </si>
  <si>
    <t>PLAN</t>
  </si>
  <si>
    <t>InitSettingsP7: added=7 skipped=0</t>
  </si>
  <si>
    <t>2026-05-27 20:23:35</t>
  </si>
  <si>
    <t>AddBlankPlanRow: row 10</t>
  </si>
  <si>
    <t>2026-05-27 20:31:19</t>
  </si>
  <si>
    <t>AddBlankPlanRow: row 11</t>
  </si>
  <si>
    <t>2026-05-27 20:32:28</t>
  </si>
  <si>
    <t>DeletePlanRow: row 10 removed</t>
  </si>
  <si>
    <t>2026-05-27 20:33:18</t>
  </si>
  <si>
    <t>InsertPlanRowAbove: at row 10</t>
  </si>
  <si>
    <t>P7 Plan push</t>
  </si>
  <si>
    <t>Plan push dry-run</t>
  </si>
  <si>
    <t>TRUE = validate + decompose only, no POST. FALSE = real push (pings cart first).</t>
  </si>
  <si>
    <t>2026-05-27 20:51:07</t>
  </si>
  <si>
    <t>AddPlanPushDryRunFlag: added at C65</t>
  </si>
  <si>
    <t>2026-05-27 20:52:56</t>
  </si>
  <si>
    <t>P7</t>
  </si>
  <si>
    <t>Stage 1 skeleton: no work performed yet</t>
  </si>
  <si>
    <t>2026-05-27 21:07:19</t>
  </si>
  <si>
    <t>--- PushGimbalPlan start (DRY RUN) ---</t>
  </si>
  <si>
    <t>Plan: NO END ROW â€” last row must have Action=END</t>
  </si>
  <si>
    <t>Row 9 (GP04): Move: Target required (marker or astro); Move: Rate required (use a band name or 'Computed')</t>
  </si>
  <si>
    <t>Row 10 (GP05): Move: Target required (marker or astro)</t>
  </si>
  <si>
    <t>Row 11 (GP06): Move: Target required (marker or astro)</t>
  </si>
  <si>
    <t>Phase 1 FAILED: 4 row(s) with errors. Aborting.</t>
  </si>
  <si>
    <t>--- PushGimbalPlan end (validation failed) ---</t>
  </si>
  <si>
    <t>2026-05-27 21:07:48</t>
  </si>
  <si>
    <t>Plan: rows past END (row 9 is END, but row 11 is also populated). END must be the last row.</t>
  </si>
  <si>
    <t>Phase 1 FAILED: 3 row(s) with errors. Aborting.</t>
  </si>
  <si>
    <t>2026-05-27 21:10:56</t>
  </si>
  <si>
    <t>2026-05-27 21:11:41</t>
  </si>
  <si>
    <t>2026-05-27 21:11:46</t>
  </si>
  <si>
    <t>2026-05-27 21:11:50</t>
  </si>
  <si>
    <t>Phase 1 OK: validation passed</t>
  </si>
  <si>
    <t>Phases 2-4 not yet wired (Stage 2 stops here)</t>
  </si>
  <si>
    <t>--- PushGimbalPlan end (DRY RUN, stage 2) ---</t>
  </si>
  <si>
    <t>2026-05-27 21:12:38</t>
  </si>
  <si>
    <t>Row 8 (GP03): Move: Target required (marker or astro)</t>
  </si>
  <si>
    <t>Phase 1 FAILED: 1 row(s) with errors. Aborting.</t>
  </si>
  <si>
    <t>GC rise (was MW core rise)</t>
  </si>
  <si>
    <t>GC transit (was MW core transit)</t>
  </si>
  <si>
    <t>GC set (was MW core set)</t>
  </si>
  <si>
    <t>GC (Galactic Centre) times (placeholders; push from Astro.bas)</t>
  </si>
  <si>
    <t>2026-05-27 21:35:05</t>
  </si>
  <si>
    <t>RenameMWToGC: complete</t>
  </si>
  <si>
    <t>2026-05-27 21:35:55</t>
  </si>
  <si>
    <t>2026-05-27 21:39:57</t>
  </si>
  <si>
    <t xml:space="preserve">  GP01 PANFOLLOW seg, ts=15:42 te=16:30</t>
  </si>
  <si>
    <t xml:space="preserve">  GP02 TrackInterval mode=F obj=sun offY=0.0 offP=0.0, ts=16:30 te=17:15</t>
  </si>
  <si>
    <t>Sun at 17:15:28: az=295.0° alt=-0.8° Ã¢â€ â€™ yaw=25.0° pitch=-0.8°</t>
  </si>
  <si>
    <t xml:space="preserve">  GP03 CUBIC slew to (30.0°, 20.0°) [astro sun @ 17:15+Î”], ts=17:15 te=19:15</t>
  </si>
  <si>
    <t xml:space="preserve">  GP04 END: plan ends at 19:15 (provides hold-tail end for previous row)</t>
  </si>
  <si>
    <t>Phase 3 OK: 2 plan segment(s), 1 TrackInterval(s)</t>
  </si>
  <si>
    <t>--- PushGimbalPlan end (DRY RUN, stage 3) ---</t>
  </si>
  <si>
    <t>2026-05-27 21:42:19</t>
  </si>
  <si>
    <t>2026-05-27 21:43:22</t>
  </si>
  <si>
    <t xml:space="preserve">  GP03 CUBIC slew to (55.0°, 19.2°) [astro sun @ 17:15+Î”], ts=17:15 te=19:15</t>
  </si>
  <si>
    <t>2026-05-27 21:50:44</t>
  </si>
  <si>
    <t xml:space="preserve">  GP03 CUBIC slew to (55.0°, 19.2°) [astro sun @ 17:15+delta], ts=17:15 te=19:15</t>
  </si>
  <si>
    <t>2026-05-27 22:00:39</t>
  </si>
  <si>
    <t>Sun at 17:15:28: az=295.0° alt=-0.8° -&gt; yaw=25.0° pitch=-0.8°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</si>
</sst>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:ss"/>
    <numFmt numFmtId="165" formatCode="hh:mm"/>
    <numFmt numFmtId="166" formatCode="[$-F800]dddd\,\ mmmm\ dd\,\ yyyy"/>
    <numFmt numFmtId="167" formatCode="0.000"/>
  </numFmts>
  <fonts count="25" x14ac:knownFonts="1">
    <font>
      <sz val="11"/>
      <color theme="1"/>
      <name val="Calibri"/>
      <family val="2"/>
      <scheme val="minor"/>
    </font>
    <font>
      <b/>
      <sz val="14"/>
      <color rgb="FFFFFFFF"/>
      <name val="Arial"/>
    </font>
    <font>
      <b/>
      <sz val="10"/>
      <color rgb="FFFFFFFF"/>
      <name val="Arial"/>
    </font>
    <font>
      <b/>
      <sz val="10"/>
      <color rgb="FF000000"/>
      <name val="Arial"/>
    </font>
    <font>
      <sz val="10"/>
      <color rgb="FF37474F"/>
      <name val="Arial"/>
    </font>
    <font>
      <b/>
      <sz val="16"/>
      <color rgb="FFFFFFFF"/>
      <name val="Arial"/>
    </font>
    <font>
      <b/>
      <sz val="13"/>
      <color rgb="FF000000"/>
      <name val="Arial"/>
    </font>
    <font>
      <b/>
      <sz val="10"/>
      <color rgb="FF4A148C"/>
      <name val="Arial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4"/>
      <name val="Cambria"/>
      <charset val="1"/>
    </font>
    <font>
      <b/>
      <sz val="11"/>
      <name val="Cambria"/>
      <charset val="1"/>
    </font>
    <font>
      <b/>
      <sz val="11"/>
      <name val="Calibri"/>
    </font>
    <font>
      <b/>
      <i/>
      <sz val="11"/>
      <name val="Cambria"/>
      <charset val="1"/>
    </font>
    <font>
      <sz val="11"/>
      <name val="Calibri"/>
    </font>
    <font>
      <sz val="11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1A1A2E"/>
      </patternFill>
    </fill>
    <fill>
      <patternFill patternType="solid">
        <fgColor rgb="FF0F3460"/>
      </patternFill>
    </fill>
    <fill>
      <patternFill patternType="solid">
        <fgColor rgb="FFFFF2CC"/>
      </patternFill>
    </fill>
    <fill>
      <patternFill patternType="solid">
        <fgColor rgb="FFE65100"/>
      </patternFill>
    </fill>
    <fill>
      <patternFill patternType="solid">
        <fgColor rgb="FFE94560"/>
      </patternFill>
    </fill>
    <fill>
      <patternFill patternType="solid">
        <fgColor rgb="FFE3F2FD"/>
      </patternFill>
    </fill>
    <fill>
      <patternFill patternType="solid">
        <fgColor rgb="FF1B5E20"/>
      </patternFill>
    </fill>
    <fill>
      <patternFill patternType="solid">
        <fgColor rgb="FF37474F"/>
      </patternFill>
    </fill>
    <fill>
      <patternFill patternType="solid">
        <fgColor rgb="FF4A148C"/>
      </patternFill>
    </fill>
    <fill>
      <patternFill patternType="solid">
        <fgColor rgb="FFF3E5F5"/>
      </patternFill>
    </fill>
    <fill>
      <patternFill patternType="solid">
        <fgColor rgb="FF00406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6E5C8"/>
        <bgColor rgb="FFDDDDDD"/>
      </patternFill>
    </fill>
    <fill>
      <patternFill patternType="solid">
        <fgColor rgb="FFE0E0E0"/>
      </patternFill>
    </fill>
    <fill>
      <patternFill patternType="solid">
        <fgColor rgb="FFF5F5F5"/>
        <bgColor rgb="FFF0F0F0"/>
      </patternFill>
    </fill>
    <fill>
      <patternFill patternType="solid">
        <fgColor rgb="FFDDDDDD"/>
        <bgColor rgb="FFE5D8C8"/>
      </patternFill>
    </fill>
    <fill>
      <patternFill patternType="solid">
        <fgColor rgb="FFF5F5F5"/>
      </patternFill>
    </fill>
    <fill>
      <patternFill patternType="solid">
        <fgColor rgb="FFDDDDDD"/>
      </patternFill>
    </fill>
    <fill>
      <patternFill patternType="solid">
        <fgColor rgb="FFFFFFEE"/>
        <bgColor rgb="FFF5F5F5"/>
      </patternFill>
    </fill>
    <fill>
      <patternFill patternType="solid">
        <fgColor rgb="FFE8E8E8"/>
        <bgColor rgb="FFF0F0F0"/>
      </patternFill>
    </fill>
    <fill>
      <patternFill patternType="solid">
        <fgColor rgb="FFFFFFEE"/>
      </patternFill>
    </fill>
    <fill>
      <patternFill patternType="solid">
        <fgColor rgb="FFF0F0F0"/>
        <bgColor rgb="FFF5F5F5"/>
      </patternFill>
    </fill>
  </fills>
  <borders count="17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18" fillId="0" borderId="0"/>
  </cellStyleXfs>
  <cellXfs count="95">
    <xf numFmtId="0" fontId="0" fillId="0" borderId="0" xfId="0"/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64" fontId="3" fillId="4" borderId="1" xfId="0" applyNumberFormat="1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7" fillId="11" borderId="1" xfId="0" applyNumberFormat="1" applyFont="1" applyFill="1" applyBorder="1"/>
    <xf numFmtId="0" fontId="8" fillId="4" borderId="1" xfId="1" applyFill="1" applyBorder="1" applyAlignment="1">
      <alignment horizontal="left" vertical="center"/>
    </xf>
    <xf numFmtId="22" fontId="0" fillId="0" borderId="0" xfId="0" applyNumberFormat="1"/>
    <xf numFmtId="165" fontId="0" fillId="0" borderId="0" xfId="0" applyNumberFormat="1"/>
    <xf numFmtId="21" fontId="6" fillId="7" borderId="1" xfId="0" applyNumberFormat="1" applyFont="1" applyFill="1" applyBorder="1" applyAlignment="1">
      <alignment horizontal="center" vertical="center" wrapText="1"/>
    </xf>
    <xf numFmtId="49" fontId="6" fillId="7" borderId="1" xfId="0" quotePrefix="1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9" fillId="4" borderId="1" xfId="0" quotePrefix="1" applyNumberFormat="1" applyFont="1" applyFill="1" applyBorder="1" applyAlignment="1">
      <alignment horizontal="left" vertical="center"/>
    </xf>
    <xf numFmtId="0" fontId="10" fillId="0" borderId="0" xfId="0" applyFont="1"/>
    <xf numFmtId="0" fontId="11" fillId="12" borderId="10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9" fillId="4" borderId="0" xfId="0" applyFont="1" applyFill="1" applyAlignment="1">
      <alignment horizontal="left" vertical="center"/>
    </xf>
    <xf numFmtId="166" fontId="0" fillId="0" borderId="0" xfId="0" applyNumberFormat="1"/>
    <xf numFmtId="22" fontId="0" fillId="13" borderId="9" xfId="0" applyNumberFormat="1" applyFill="1" applyBorder="1"/>
    <xf numFmtId="0" fontId="14" fillId="0" borderId="0" xfId="0" applyFont="1"/>
    <xf numFmtId="49" fontId="14" fillId="0" borderId="0" xfId="0" applyNumberFormat="1" applyFont="1"/>
    <xf numFmtId="2" fontId="0" fillId="0" borderId="0" xfId="0" applyNumberFormat="1"/>
    <xf numFmtId="0" fontId="16" fillId="12" borderId="9" xfId="0" applyFont="1" applyFill="1" applyBorder="1" applyAlignment="1">
      <alignment horizontal="center" vertical="center"/>
    </xf>
    <xf numFmtId="0" fontId="12" fillId="0" borderId="0" xfId="0" applyFont="1"/>
    <xf numFmtId="0" fontId="11" fillId="12" borderId="9" xfId="0" applyFont="1" applyFill="1" applyBorder="1"/>
    <xf numFmtId="0" fontId="15" fillId="0" borderId="0" xfId="0" applyFont="1"/>
    <xf numFmtId="0" fontId="17" fillId="14" borderId="9" xfId="0" applyFont="1" applyFill="1" applyBorder="1"/>
    <xf numFmtId="0" fontId="17" fillId="14" borderId="10" xfId="0" applyFont="1" applyFill="1" applyBorder="1"/>
    <xf numFmtId="0" fontId="17" fillId="14" borderId="14" xfId="0" applyFont="1" applyFill="1" applyBorder="1"/>
    <xf numFmtId="0" fontId="17" fillId="14" borderId="12" xfId="0" applyFont="1" applyFill="1" applyBorder="1"/>
    <xf numFmtId="0" fontId="17" fillId="14" borderId="13" xfId="0" applyFont="1" applyFill="1" applyBorder="1"/>
    <xf numFmtId="0" fontId="17" fillId="14" borderId="11" xfId="0" applyFont="1" applyFill="1" applyBorder="1"/>
    <xf numFmtId="0" fontId="11" fillId="12" borderId="9" xfId="0" applyFont="1" applyFill="1" applyBorder="1" applyAlignment="1">
      <alignment horizontal="center" vertical="center"/>
    </xf>
    <xf numFmtId="0" fontId="11" fillId="12" borderId="1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11" fillId="12" borderId="15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6" fillId="12" borderId="10" xfId="0" applyFont="1" applyFill="1" applyBorder="1" applyAlignment="1">
      <alignment horizontal="center" vertical="center"/>
    </xf>
    <xf numFmtId="19" fontId="0" fillId="13" borderId="9" xfId="0" applyNumberFormat="1" applyFill="1" applyBorder="1"/>
    <xf numFmtId="0" fontId="13" fillId="6" borderId="0" xfId="0" applyFont="1" applyFill="1" applyAlignment="1">
      <alignment horizontal="center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8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19" fillId="0" borderId="0" xfId="2" applyFont="1"/>
    <xf numFmtId="0" fontId="18" fillId="0" borderId="0" xfId="2"/>
    <xf numFmtId="0" fontId="20" fillId="15" borderId="0" xfId="2" applyFont="1" applyFill="1" applyAlignment="1">
      <alignment horizontal="center"/>
    </xf>
    <xf numFmtId="0" fontId="18" fillId="0" borderId="0" xfId="2"/>
    <xf numFmtId="0" fontId="21" fillId="16" borderId="0" xfId="2" applyFont="1" applyFill="1" applyAlignment="1">
      <alignment horizontal="center"/>
    </xf>
    <xf numFmtId="0" fontId="22" fillId="17" borderId="16" xfId="2" applyFont="1" applyFill="1" applyBorder="1" applyAlignment="1">
      <alignment horizontal="center"/>
    </xf>
    <xf numFmtId="0" fontId="20" fillId="18" borderId="16" xfId="2" applyFont="1" applyFill="1" applyBorder="1" applyAlignment="1">
      <alignment horizontal="center"/>
    </xf>
    <xf numFmtId="0" fontId="21" fillId="19" borderId="16" xfId="2" applyFont="1" applyFill="1" applyBorder="1" applyAlignment="1">
      <alignment horizontal="center"/>
    </xf>
    <xf numFmtId="0" fontId="21" fillId="20" borderId="16" xfId="2" applyFont="1" applyFill="1" applyBorder="1" applyAlignment="1">
      <alignment horizontal="center"/>
    </xf>
    <xf numFmtId="0" fontId="23" fillId="0" borderId="16" xfId="2" applyFont="1" applyBorder="1"/>
    <xf numFmtId="0" fontId="18" fillId="17" borderId="16" xfId="2" applyFill="1" applyBorder="1" applyAlignment="1">
      <alignment horizontal="center"/>
    </xf>
    <xf numFmtId="0" fontId="18" fillId="21" borderId="16" xfId="2" applyFill="1" applyBorder="1" applyAlignment="1">
      <alignment horizontal="center"/>
    </xf>
    <xf numFmtId="0" fontId="18" fillId="22" borderId="16" xfId="2" applyFill="1" applyBorder="1" applyAlignment="1">
      <alignment horizontal="center"/>
    </xf>
    <xf numFmtId="167" fontId="18" fillId="17" borderId="16" xfId="2" applyNumberFormat="1" applyFill="1" applyBorder="1" applyAlignment="1">
      <alignment horizontal="center"/>
    </xf>
    <xf numFmtId="164" fontId="18" fillId="17" borderId="16" xfId="2" applyNumberFormat="1" applyFill="1" applyBorder="1" applyAlignment="1">
      <alignment horizontal="center"/>
    </xf>
    <xf numFmtId="0" fontId="23" fillId="19" borderId="16" xfId="2" applyFont="1" applyFill="1" applyBorder="1" applyAlignment="1">
      <alignment horizontal="center"/>
    </xf>
    <xf numFmtId="0" fontId="23" fillId="23" borderId="16" xfId="2" applyFont="1" applyFill="1" applyBorder="1"/>
    <xf numFmtId="165" fontId="23" fillId="19" borderId="16" xfId="2" applyNumberFormat="1" applyFont="1" applyFill="1" applyBorder="1"/>
    <xf numFmtId="0" fontId="23" fillId="19" borderId="16" xfId="2" applyFont="1" applyFill="1" applyBorder="1"/>
    <xf numFmtId="0" fontId="18" fillId="24" borderId="16" xfId="2" applyFill="1" applyBorder="1" applyAlignment="1">
      <alignment horizontal="center"/>
    </xf>
    <xf numFmtId="0" fontId="23" fillId="19" borderId="0" xfId="2" applyFont="1" applyFill="1" applyAlignment="1">
      <alignment horizontal="center"/>
    </xf>
    <xf numFmtId="0" fontId="23" fillId="23" borderId="0" xfId="2" applyFont="1" applyFill="1"/>
    <xf numFmtId="165" fontId="23" fillId="19" borderId="0" xfId="2" applyNumberFormat="1" applyFont="1" applyFill="1"/>
    <xf numFmtId="0" fontId="23" fillId="0" borderId="0" xfId="2" applyFont="1"/>
    <xf numFmtId="0" fontId="20" fillId="0" borderId="0" xfId="2" applyFont="1"/>
    <xf numFmtId="0" fontId="18" fillId="21" borderId="0" xfId="2" applyFill="1"/>
    <xf numFmtId="0" fontId="18" fillId="17" borderId="0" xfId="2" applyFill="1"/>
    <xf numFmtId="0" fontId="18" fillId="24" borderId="0" xfId="2" applyFill="1"/>
    <xf numFmtId="1" fontId="0" fillId="0" borderId="0" xfId="0" applyNumberFormat="1"/>
    <xf numFmtId="0" fontId="23" fillId="0" borderId="0" xfId="2" applyFont="1" applyFill="1"/>
    <xf numFmtId="0" fontId="23" fillId="0" borderId="16" xfId="2" applyFont="1" applyFill="1" applyBorder="1"/>
    <xf numFmtId="0" fontId="24" fillId="23" borderId="16" xfId="2" applyFont="1" applyFill="1" applyBorder="1"/>
  </cellXfs>
  <cellStyles count="3">
    <cellStyle name="Hyperlink" xfId="1" builtinId="8"/>
    <cellStyle name="Normal" xfId="0" builtinId="0"/>
    <cellStyle name="Normal 2" xfId="2" xr:uid="{2041AF8A-920C-4410-9914-F1971836998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Cart trace (rear axle, 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Trace</c:v>
          </c:tx>
          <c:marker>
            <c:symbol val="circle"/>
            <c:size val="4"/>
          </c:marker>
          <c:dLbls>
            <c:dLbl>
              <c:idx val="0"/>
              <c:tx>
                <c:rich>
                  <a:bodyPr/>
                  <a:lstStyle/>
                  <a:p>
                    <a:fld id="{32E98FDF-8DA5-4214-90AE-47F54EF44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B3-4FD9-A0F0-0BF592F7F8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58E6F3-38A4-4124-B323-11D05C888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5B3-4FD9-A0F0-0BF592F7F8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4D8152-C0BE-4374-82C9-C23883C8F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5B3-4FD9-A0F0-0BF592F7F8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1022F4-844C-4EC9-8BFB-F96272D3A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5B3-4FD9-A0F0-0BF592F7F8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EE51B4-0396-4B40-904B-84B1D5764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5B3-4FD9-A0F0-0BF592F7F8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86AE85-A928-4466-8D01-77C265AE8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5B3-4FD9-A0F0-0BF592F7F8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AC0AB7-FBD7-4E00-9C8D-E7BB6B29B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5B3-4FD9-A0F0-0BF592F7F8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4B393C-AC46-43D5-9228-E344CECF4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5B3-4FD9-A0F0-0BF592F7F8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E3BC5E2-2927-406E-81F8-8252F7BB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5B3-4FD9-A0F0-0BF592F7F8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DFF91B-BA06-4013-8DD0-393F41C4B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5B3-4FD9-A0F0-0BF592F7F8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6C5478-E39F-4183-94E0-BE48FB422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5B3-4FD9-A0F0-0BF592F7F8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457D34-7056-43E1-9553-534CC43C0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5B3-4FD9-A0F0-0BF592F7F8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1ACB2A-12B6-405F-8A14-A3D478FD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5B3-4FD9-A0F0-0BF592F7F8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398BEE-78F1-48D8-9D83-396593A60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5B3-4FD9-A0F0-0BF592F7F8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46DE2A-5C6A-4A1A-B2F1-2B2E5FC0F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5B3-4FD9-A0F0-0BF592F7F8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3BB6805-0DEF-42E4-A926-F8790A0F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5B3-4FD9-A0F0-0BF592F7F8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E2F16FA-44B2-42BD-865B-6D44EE224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5B3-4FD9-A0F0-0BF592F7F8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34340D-1AFE-4B0A-A3BF-A87F9DC0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5B3-4FD9-A0F0-0BF592F7F8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DD5E73-17FA-44F3-BF31-B710C159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5B3-4FD9-A0F0-0BF592F7F8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54E0E20-B854-43EA-8D62-75B99396F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5B3-4FD9-A0F0-0BF592F7F8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188E77-15CC-4227-9D4B-BCB12E45B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5B3-4FD9-A0F0-0BF592F7F8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D0E73CC-2161-4F68-B824-C67204210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5B3-4FD9-A0F0-0BF592F7F8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4EA904-8B54-4B35-AD2E-D9C3D4867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5B3-4FD9-A0F0-0BF592F7F8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306B397-5531-46F5-BDE0-B5489173D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5B3-4FD9-A0F0-0BF592F7F8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0B2E16-C52B-4440-914D-C50AA8ED6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5B3-4FD9-A0F0-0BF592F7F8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769DC63-F64A-4677-8DC0-3037D47B1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5B3-4FD9-A0F0-0BF592F7F8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4E47E32-F277-45DC-8236-69610305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5B3-4FD9-A0F0-0BF592F7F8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9E89B63-8A9B-43A6-A3BE-39067993F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5B3-4FD9-A0F0-0BF592F7F8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54B155-3FDF-4F25-A304-E47A930DD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5B3-4FD9-A0F0-0BF592F7F8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D37738-2C9B-4867-842B-15FAA6CA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5B3-4FD9-A0F0-0BF592F7F8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5D6352-3420-4ADC-BE3F-E5E918E5E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5B3-4FD9-A0F0-0BF592F7F8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5CA33F-F8D3-44C8-A284-16A39FE5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5B3-4FD9-A0F0-0BF592F7F8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977E0EA-8067-4304-835E-DE1BAD749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5B3-4FD9-A0F0-0BF592F7F8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31ADBF5-2533-450D-A921-087E0C465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5B3-4FD9-A0F0-0BF592F7F8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4A4CEAE-4A8C-4663-AB31-3F7ADFC79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5B3-4FD9-A0F0-0BF592F7F8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F5974AC-75F7-4801-92E0-DDE3DCA7E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5B3-4FD9-A0F0-0BF592F7F8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170A304-BD0A-4AF4-9745-27310E00B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5B3-4FD9-A0F0-0BF592F7F8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3D65EB5-95D3-4DE0-8C2F-346189558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5B3-4FD9-A0F0-0BF592F7F8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748BF5-2B06-4CB2-A5CA-F041A8830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5B3-4FD9-A0F0-0BF592F7F8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141082-0CDE-4091-BF67-0F18AB9D9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5B3-4FD9-A0F0-0BF592F7F8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CE7ADDA-3ADF-443A-A595-292A13648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5B3-4FD9-A0F0-0BF592F7F8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910D16C-6640-42BF-8002-02312234A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5B3-4FD9-A0F0-0BF592F7F8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21B90F3-F7A1-441D-A820-26AAAA95B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5B3-4FD9-A0F0-0BF592F7F8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7B1BA0-B7D9-4F30-B05C-DBF5A657D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5B3-4FD9-A0F0-0BF592F7F8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840751-7DAD-4C26-8080-1BFF7759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5B3-4FD9-A0F0-0BF592F7F8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D8406FA-C0FC-4D45-ADA6-761AD3CCA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5B3-4FD9-A0F0-0BF592F7F8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3D78C8-DA8B-444E-B7EA-0B40354EA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5B3-4FD9-A0F0-0BF592F7F8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9C4DDD7-6728-44B0-867B-7538D4E1D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5B3-4FD9-A0F0-0BF592F7F8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D4DDBB8-4FA1-4217-A100-1D6C2EAD9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5B3-4FD9-A0F0-0BF592F7F8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776062-1504-4618-A12A-D20F31DE2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5B3-4FD9-A0F0-0BF592F7F8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1156E6-A92A-4E3D-AD79-026955ADB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5B3-4FD9-A0F0-0BF592F7F8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A49C6D6-9005-4B6B-92D8-A8008B7CA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5B3-4FD9-A0F0-0BF592F7F8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245C12C-E5C7-4AD0-937D-F57FE1EE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5B3-4FD9-A0F0-0BF592F7F8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E904E9D-3433-4B84-9D81-A7D395669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5B3-4FD9-A0F0-0BF592F7F8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3CD22F6-2783-4023-B650-DA5A7EC8E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5B3-4FD9-A0F0-0BF592F7F8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8F2ABDE-8810-4EAA-94A7-25278E814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5B3-4FD9-A0F0-0BF592F7F8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B29985C-3FD0-400F-98DE-619C27066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5B3-4FD9-A0F0-0BF592F7F8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F1FC1FB-5232-430A-9908-B79AADC37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5B3-4FD9-A0F0-0BF592F7F8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732AFAA-57FF-41A3-8F0B-908FCD0BC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5B3-4FD9-A0F0-0BF592F7F8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03D595-6E36-41B1-9D85-292BDAAFB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5B3-4FD9-A0F0-0BF592F7F8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37B7F77-7D55-4E25-9C55-E5A8BCEA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5B3-4FD9-A0F0-0BF592F7F8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E0F0246-3092-41E8-B4E9-AAE709F86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5B3-4FD9-A0F0-0BF592F7F8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439D01E-4DF2-4F3D-8AB2-A15819BB4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5B3-4FD9-A0F0-0BF592F7F8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9AE611-84A1-42D6-9128-2FE7F61AC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5B3-4FD9-A0F0-0BF592F7F8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829F3D8-72DD-4E98-9B5C-1495FB446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5B3-4FD9-A0F0-0BF592F7F8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B6632C9-3C6E-4EDC-981A-FEB47C15B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5B3-4FD9-A0F0-0BF592F7F8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786D7CD-5E0E-4C82-B2D4-4202F56E2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5B3-4FD9-A0F0-0BF592F7F8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0BA10F6-F2D1-4ABE-A8A1-3A01AC7BC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5B3-4FD9-A0F0-0BF592F7F8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F522D78-1792-4938-A054-BE586498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5B3-4FD9-A0F0-0BF592F7F8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1F3058E-7806-472E-83CE-84A70CD77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5B3-4FD9-A0F0-0BF592F7F8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A16B809-D422-44D1-A61C-9BA9A2BE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5B3-4FD9-A0F0-0BF592F7F8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9E4800-D638-47AC-96C2-106BD27A3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5B3-4FD9-A0F0-0BF592F7F8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11F9C2-A02E-476D-A839-65F51A18F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5B3-4FD9-A0F0-0BF592F7F8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C469FF1-A94C-4A16-88AE-628B9E2EE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5B3-4FD9-A0F0-0BF592F7F8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0DD63D7-C754-4B5F-AE1B-8F5F0BBF1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5B3-4FD9-A0F0-0BF592F7F8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17EC4CE-B66D-42DD-A1D2-561B9CC5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5B3-4FD9-A0F0-0BF592F7F8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DD3E9A3-0F41-443C-AA53-F3D785FF9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5B3-4FD9-A0F0-0BF592F7F8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6D0C334-8386-4C14-AE3B-9992ED280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5B3-4FD9-A0F0-0BF592F7F8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70DCE5-450C-4BD4-A3CF-46D76C8A3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5B3-4FD9-A0F0-0BF592F7F8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A40B4E6-14EF-45C8-BF0B-EC269E4DD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5B3-4FD9-A0F0-0BF592F7F8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C895024-B3A4-4889-9D1A-163F78563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5B3-4FD9-A0F0-0BF592F7F8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AD54BD0-8E79-456E-A945-7F122BF69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5B3-4FD9-A0F0-0BF592F7F8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885DCCC-D930-4265-8F1D-117DAF72A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5B3-4FD9-A0F0-0BF592F7F8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CBFA7D-EED0-4EBA-9C66-6DDFC0DCD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5B3-4FD9-A0F0-0BF592F7F8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ED3B311-C7EF-4E7B-9DF1-69B4DA48A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5B3-4FD9-A0F0-0BF592F7F8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F84208-F62B-4B54-B64D-E2C8A4552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5B3-4FD9-A0F0-0BF592F7F8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DD0B03C-8E1B-40AE-99B5-25C3C31E7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5B3-4FD9-A0F0-0BF592F7F8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F3DF034-B958-4F94-8558-97C8D3B91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5B3-4FD9-A0F0-0BF592F7F8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43D78D6-9FF7-4EA2-A98A-5A99DCE5D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5B3-4FD9-A0F0-0BF592F7F8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2438D3E-30D2-4F58-BE62-5EC91E833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5B3-4FD9-A0F0-0BF592F7F8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39B2D7F-CDEE-452F-80D1-A684BA23D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5B3-4FD9-A0F0-0BF592F7F8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4510457-6A3B-4962-8272-FE86E2CC1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5B3-4FD9-A0F0-0BF592F7F8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16BF942-022E-419D-846D-72BFF01EC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5B3-4FD9-A0F0-0BF592F7F8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1350486-5A9F-4CE7-AC1C-6C60CF77D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5B3-4FD9-A0F0-0BF592F7F8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55938BF-138B-40E1-8240-A775CA353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5B3-4FD9-A0F0-0BF592F7F8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7F1707-B4F0-4DEF-AF76-0B6FE57D1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5B3-4FD9-A0F0-0BF592F7F8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2B7ADAD-0CD2-4C6F-BD5B-A4B10F0F4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5B3-4FD9-A0F0-0BF592F7F8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5640B2-E3F7-4417-94AC-145489DA3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5B3-4FD9-A0F0-0BF592F7F8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C4221F-0490-4391-90D2-E08E74C59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5B3-4FD9-A0F0-0BF592F7F8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F618391-1542-4ED0-AB98-51BAD08B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5B3-4FD9-A0F0-0BF592F7F8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4AF7E11-372D-4DDC-904D-192A3B75F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5B3-4FD9-A0F0-0BF592F7F8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033617B-DDAC-4AAD-9A51-D50D21E9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5B3-4FD9-A0F0-0BF592F7F8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A7F503D-DAC7-422D-A709-5297028CA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5B3-4FD9-A0F0-0BF592F7F8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41FAA0C-7091-4F3A-B4BF-85670FDCD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5B3-4FD9-A0F0-0BF592F7F8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148F7B-9C23-451E-86DF-08388E172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5B3-4FD9-A0F0-0BF592F7F8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4BC4CBA-51E8-47CD-8E00-B7DACA664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5B3-4FD9-A0F0-0BF592F7F8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04A19C3-F7D7-4F6A-A445-E1437BB91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5B3-4FD9-A0F0-0BF592F7F8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142D5C5-E296-4022-9166-E4EF8BC90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5B3-4FD9-A0F0-0BF592F7F8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09640A5-66E7-4C89-87D2-ADCA07042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5B3-4FD9-A0F0-0BF592F7F8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9C58A06-1876-4788-9107-29811E1DB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5B3-4FD9-A0F0-0BF592F7F8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64AB42-6869-4B77-A115-6D82C5C1B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5B3-4FD9-A0F0-0BF592F7F8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AA056D-FC53-4FF3-88EC-C15127AB4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5B3-4FD9-A0F0-0BF592F7F8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96049E5-6A07-4485-A563-082844FAF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5B3-4FD9-A0F0-0BF592F7F8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BA56DA6-6C63-4050-8626-63FD853D6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5B3-4FD9-A0F0-0BF592F7F8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CBC23F-CCD8-4431-8748-27A30CB99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5B3-4FD9-A0F0-0BF592F7F8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11F6D01-5765-4FC3-8B2B-0B32E4375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5B3-4FD9-A0F0-0BF592F7F8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1B0428-1ECA-4976-80F7-1289D6ECE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5B3-4FD9-A0F0-0BF592F7F8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D3C3BB1-1410-4FFE-87EA-61C385769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5B3-4FD9-A0F0-0BF592F7F8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6ED2FA-C4FE-433A-98F1-9AC03CA90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5B3-4FD9-A0F0-0BF592F7F8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A4AED30-C6BD-4868-9572-6A48751C8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5B3-4FD9-A0F0-0BF592F7F8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793FB4-313B-4F85-A604-D687BE3B8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5B3-4FD9-A0F0-0BF592F7F8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E515127-047A-4773-BBC6-126164368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5B3-4FD9-A0F0-0BF592F7F8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D313FB2-0582-4F6E-B2EA-0FDF9B571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5B3-4FD9-A0F0-0BF592F7F8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8A3E043-39A8-4CC3-AE86-E89764195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5B3-4FD9-A0F0-0BF592F7F8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C15B09F-2D4D-4B9C-8900-30BA2643F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5B3-4FD9-A0F0-0BF592F7F8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7DC4439-7ED9-4DA9-97AD-5DFB9BA01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5B3-4FD9-A0F0-0BF592F7F8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25A3464-5B5E-4D66-B348-CD9816EB0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5B3-4FD9-A0F0-0BF592F7F8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B61638-6EBC-496A-965C-FCBFD6831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5B3-4FD9-A0F0-0BF592F7F8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B47C798-7C41-409E-895A-8DFDAD45A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5B3-4FD9-A0F0-0BF592F7F8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80FF243-FD6E-4F3C-966C-8173B36E2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5B3-4FD9-A0F0-0BF592F7F8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F832752-8431-43E1-B782-1774B5B7C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5B3-4FD9-A0F0-0BF592F7F8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D8CFE5F-7C19-4622-9BC8-8449AB09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5B3-4FD9-A0F0-0BF592F7F8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26071E-765B-45EE-B907-82FB164CD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5B3-4FD9-A0F0-0BF592F7F8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AECEDD-33B1-4324-8C55-AF28F75CB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5B3-4FD9-A0F0-0BF592F7F8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BE04796-06D1-42A1-9BB5-4A5318D66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5B3-4FD9-A0F0-0BF592F7F8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6C25EB-4799-4E5B-9E1A-3E9420B38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5B3-4FD9-A0F0-0BF592F7F8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310BF5E-DCDC-4ECA-82ED-837E0837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5B3-4FD9-A0F0-0BF592F7F8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91814A-8E2C-4027-88C4-E09E7CE87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5B3-4FD9-A0F0-0BF592F7F8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9100233-9F3D-4D5F-8E6C-F7953AAB6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5B3-4FD9-A0F0-0BF592F7F8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CD254AF-785C-495E-9C13-5EA17E493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5B3-4FD9-A0F0-0BF592F7F8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F977894-D0F0-4256-B565-E77F70F62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5B3-4FD9-A0F0-0BF592F7F8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5F51772-A963-4485-98F1-BB3AF2096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5B3-4FD9-A0F0-0BF592F7F8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FF30F2-797B-4FC3-8304-52E1B567A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5B3-4FD9-A0F0-0BF592F7F8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07AAF7F-3780-4610-A973-3CEFA2380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5B3-4FD9-A0F0-0BF592F7F8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C3041FB-442F-414C-B8D8-E440D841C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5B3-4FD9-A0F0-0BF592F7F8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4CE3445-1F27-4120-B64D-92BBDD1A5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5B3-4FD9-A0F0-0BF592F7F8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4E1C87-A5C8-42CE-B870-AFF5B4FD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5B3-4FD9-A0F0-0BF592F7F8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64E244F-0F05-4966-8889-AEA89E6E7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5B3-4FD9-A0F0-0BF592F7F8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65C4FAA-E130-4674-8DB9-F7ABD8CFE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5B3-4FD9-A0F0-0BF592F7F8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51E20D9-9EB5-4D08-8CF1-65F760611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5B3-4FD9-A0F0-0BF592F7F8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B4AA97F-9552-4538-A451-94913EB42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5B3-4FD9-A0F0-0BF592F7F8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C6EEF9-D82E-4DB8-8799-339616896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5B3-4FD9-A0F0-0BF592F7F8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D3FD83-134D-43A9-9B02-40086FD35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5B3-4FD9-A0F0-0BF592F7F8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29B0D5-D279-471D-928A-709B87176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5B3-4FD9-A0F0-0BF592F7F8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1D3839B-09E3-4F70-892E-DF498F9A0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5B3-4FD9-A0F0-0BF592F7F8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D0841E0-2530-49F8-A6EE-D0088E4A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5B3-4FD9-A0F0-0BF592F7F8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9BADC21-0F56-4450-95F2-080732853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5B3-4FD9-A0F0-0BF592F7F8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69885D2-7128-433F-A819-F338DE7F0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5B3-4FD9-A0F0-0BF592F7F8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F9FEB69-A60F-482B-BD97-3A7818E0A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5B3-4FD9-A0F0-0BF592F7F8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9F1430-C207-4060-B84E-C6600DD41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5B3-4FD9-A0F0-0BF592F7F8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4A56F59-377E-4324-9980-AE4793EAF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5B3-4FD9-A0F0-0BF592F7F8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933AED9-89CC-413F-A3D9-4A0944209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5B3-4FD9-A0F0-0BF592F7F8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E611EBE-CA09-4FC6-B1C5-C76DDA660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5B3-4FD9-A0F0-0BF592F7F8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B22B0ED-E38D-4ED7-8686-8108288F3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5B3-4FD9-A0F0-0BF592F7F8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1E581F6-6ED4-453B-90AB-2A0CC5C98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5B3-4FD9-A0F0-0BF592F7F8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130F9C-66CE-4720-8885-0058642B7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5B3-4FD9-A0F0-0BF592F7F8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DB4F6BD-A95F-4850-A32D-CF812058E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5B3-4FD9-A0F0-0BF592F7F8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0E0275-79E8-4B75-BCD9-66E0B2A9D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5B3-4FD9-A0F0-0BF592F7F8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0D411F-12B3-4274-BF5A-CD3F9D3FE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5B3-4FD9-A0F0-0BF592F7F8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1A8E1C1-345F-40E2-9F84-74BC62D12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5B3-4FD9-A0F0-0BF592F7F8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F800413-F210-41F7-A662-DC86A529B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5B3-4FD9-A0F0-0BF592F7F8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167F3BB-172C-4C18-A764-9061C44BD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5B3-4FD9-A0F0-0BF592F7F8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880EE53-CCE8-4DEA-A173-9AA414F5D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5B3-4FD9-A0F0-0BF592F7F8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6E5B07-ACA0-4DAB-8CB6-C21F0C21E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5B3-4FD9-A0F0-0BF592F7F8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8EC6D0B-AFFA-4297-AE58-852B63E1F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5B3-4FD9-A0F0-0BF592F7F8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5AFE291-FC82-4516-BF9A-5CFD95134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5B3-4FD9-A0F0-0BF592F7F8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AFB046B-C7E4-438F-8E56-D9460B3DB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5B3-4FD9-A0F0-0BF592F7F8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B3E9D2B-5EB7-45DB-8FD0-E4B5AB30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5B3-4FD9-A0F0-0BF592F7F8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F1ECD2-70A1-41B9-8031-E3F0C59E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5B3-4FD9-A0F0-0BF592F7F8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2EE8B87-E5F0-4BC5-A0AA-F88AA584C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5B3-4FD9-A0F0-0BF592F7F8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B58AD5-7F75-4AA5-A2AC-847738DC9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5B3-4FD9-A0F0-0BF592F7F8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D56A0D2-A41B-45F7-AF8E-17B0FB19A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5B3-4FD9-A0F0-0BF592F7F8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AA234B-209A-462C-ACB6-37C62F8D7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5B3-4FD9-A0F0-0BF592F7F8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35EEF07-DCF8-495D-BB97-8F99884FA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5B3-4FD9-A0F0-0BF592F7F8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FA940E0-A87D-482B-91F0-460EE0723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5B3-4FD9-A0F0-0BF592F7F8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0995F7-95B6-46D1-A612-EF838C34E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5B3-4FD9-A0F0-0BF592F7F8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3092E3C-0502-40BF-9B32-3DAE9FC0A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5B3-4FD9-A0F0-0BF592F7F8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BD1831-DB0E-4CF8-AF91-4470CF7B3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5B3-4FD9-A0F0-0BF592F7F8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8D00EF9-4CBB-4E5C-8E30-D75D0C081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5B3-4FD9-A0F0-0BF592F7F8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69C5D7E-0186-45C7-8118-5D96ACA5D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5B3-4FD9-A0F0-0BF592F7F8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5BE671-CD46-4857-B147-0AA44B774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5B3-4FD9-A0F0-0BF592F7F8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DE55765-0144-40F3-88E9-79062FFDD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5B3-4FD9-A0F0-0BF592F7F8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97C32B4-A76F-47EC-B52B-2CC5B1CDB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5B3-4FD9-A0F0-0BF592F7F8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67E972-667E-41B4-96D1-0D4D7FF41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5B3-4FD9-A0F0-0BF592F7F8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4CAA3C3-7275-41D6-9E0E-9FA240A3C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5B3-4FD9-A0F0-0BF592F7F8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F76EEAA-3BE1-4CE2-B7AF-9BBF2BF02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5B3-4FD9-A0F0-0BF592F7F8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5234154-7C2F-4EDF-92DD-F72B7967D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5B3-4FD9-A0F0-0BF592F7F8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855AE5D-B790-4ED2-8DD9-5D73C2B4D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5B3-4FD9-A0F0-0BF592F7F8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3AB616-427B-446C-896E-DEE406538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5B3-4FD9-A0F0-0BF592F7F8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0C1D8A9-3787-48F4-A529-4494B9022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5B3-4FD9-A0F0-0BF592F7F8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9517A3D-8802-4AFF-8CA7-887CFC43C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5B3-4FD9-A0F0-0BF592F7F8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328CB97-1119-4977-A2EE-C6C15A507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5B3-4FD9-A0F0-0BF592F7F8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A64239A-013B-47CE-BB3B-7416BBE21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5B3-4FD9-A0F0-0BF592F7F8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9E34C46-94F2-4B3D-86C0-74F651C4E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5B3-4FD9-A0F0-0BF592F7F8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9F33B26-EF8D-49DF-8779-9C53B3037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5B3-4FD9-A0F0-0BF592F7F8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520D71A-4CAB-4A5F-B1D6-4BE12174E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5B3-4FD9-A0F0-0BF592F7F8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AFD011-1253-4EBB-838C-98BE789E0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5B3-4FD9-A0F0-0BF592F7F8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0D9CD52-E45C-4B3E-BD8D-C9E5FBCA8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5B3-4FD9-A0F0-0BF592F7F8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C1C6332-FE37-406D-B7CC-914A89C0E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5B3-4FD9-A0F0-0BF592F7F8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39C245C-3C18-4536-8348-7E46AA519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5B3-4FD9-A0F0-0BF592F7F8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2521C12-2B87-42CC-AD95-80E89BD87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5B3-4FD9-A0F0-0BF592F7F8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534D90E-7F02-4326-BCFA-D4245B355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5B3-4FD9-A0F0-0BF592F7F86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Trace!$B$2:$B$213</c:f>
              <c:numCache>
                <c:formatCode>0.00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9.8034199755678439E-2</c:v>
                </c:pt>
                <c:pt idx="5" formatCode="General">
                  <c:v>0.19603836106282227</c:v>
                </c:pt>
                <c:pt idx="6" formatCode="General">
                  <c:v>0.29398245467691342</c:v>
                </c:pt>
                <c:pt idx="7" formatCode="General">
                  <c:v>0.3918364697586465</c:v>
                </c:pt>
                <c:pt idx="8" formatCode="General">
                  <c:v>0.48957042306948578</c:v>
                </c:pt>
                <c:pt idx="9" formatCode="General">
                  <c:v>0.58715436815876476</c:v>
                </c:pt>
                <c:pt idx="10" formatCode="General">
                  <c:v>0.68455840453951389</c:v>
                </c:pt>
                <c:pt idx="11" formatCode="General">
                  <c:v>0.7817526868502046</c:v>
                </c:pt>
                <c:pt idx="12" formatCode="General">
                  <c:v>0.87870743399960183</c:v>
                </c:pt>
                <c:pt idx="13" formatCode="General">
                  <c:v>0.97539293829192553</c:v>
                </c:pt>
                <c:pt idx="14" formatCode="General">
                  <c:v>1.0717795745295202</c:v>
                </c:pt>
                <c:pt idx="15" formatCode="General">
                  <c:v>1.1678378090902493</c:v>
                </c:pt>
                <c:pt idx="16" formatCode="General">
                  <c:v>1.2635382089768286</c:v>
                </c:pt>
                <c:pt idx="17" formatCode="General">
                  <c:v>1.3588514508353273</c:v>
                </c:pt>
                <c:pt idx="18" formatCode="General">
                  <c:v>1.4537483299400749</c:v>
                </c:pt>
                <c:pt idx="19" formatCode="General">
                  <c:v>1.5481997691422169</c:v>
                </c:pt>
                <c:pt idx="20" formatCode="General">
                  <c:v>1.6421768277791833</c:v>
                </c:pt>
                <c:pt idx="21" formatCode="General">
                  <c:v>1.7356507105423333</c:v>
                </c:pt>
                <c:pt idx="22" formatCode="General">
                  <c:v>1.8285927763000649</c:v>
                </c:pt>
                <c:pt idx="23" formatCode="General">
                  <c:v>1.9209745468736816</c:v>
                </c:pt>
                <c:pt idx="24" formatCode="General">
                  <c:v>2.0127677157633319</c:v>
                </c:pt>
                <c:pt idx="25" formatCode="General">
                  <c:v>2.1039441568213402</c:v>
                </c:pt>
                <c:pt idx="26" formatCode="General">
                  <c:v>2.1944759328702821</c:v>
                </c:pt>
                <c:pt idx="27" formatCode="General">
                  <c:v>2.2843353042631525</c:v>
                </c:pt>
                <c:pt idx="28" formatCode="General">
                  <c:v>2.3734947373830133</c:v>
                </c:pt>
                <c:pt idx="29" formatCode="General">
                  <c:v>2.4619269130795085</c:v>
                </c:pt>
                <c:pt idx="30" formatCode="General">
                  <c:v>2.5496047350396669</c:v>
                </c:pt>
                <c:pt idx="31" formatCode="General">
                  <c:v>2.636501338090425</c:v>
                </c:pt>
                <c:pt idx="32" formatCode="General">
                  <c:v>2.7225900964303271</c:v>
                </c:pt>
                <c:pt idx="33" formatCode="General">
                  <c:v>2.8078446317878796</c:v>
                </c:pt>
                <c:pt idx="34" formatCode="General">
                  <c:v>2.8922388215040611</c:v>
                </c:pt>
                <c:pt idx="35" formatCode="General">
                  <c:v>2.9757468065365096</c:v>
                </c:pt>
                <c:pt idx="36" formatCode="General">
                  <c:v>3.0583429993829361</c:v>
                </c:pt>
                <c:pt idx="37" formatCode="General">
                  <c:v>3.1400020919213363</c:v>
                </c:pt>
                <c:pt idx="38" formatCode="General">
                  <c:v>7.2802938937669639</c:v>
                </c:pt>
                <c:pt idx="39" formatCode="General">
                  <c:v>7.360990879287189</c:v>
                </c:pt>
                <c:pt idx="40" formatCode="General">
                  <c:v>7.4407010169710004</c:v>
                </c:pt>
                <c:pt idx="41" formatCode="General">
                  <c:v>7.5193998829976607</c:v>
                </c:pt>
                <c:pt idx="42" formatCode="General">
                  <c:v>7.5970633634081217</c:v>
                </c:pt>
                <c:pt idx="43" formatCode="General">
                  <c:v>7.6736676614937265</c:v>
                </c:pt>
                <c:pt idx="44" formatCode="General">
                  <c:v>7.7491893050877172</c:v>
                </c:pt>
                <c:pt idx="45" formatCode="General">
                  <c:v>7.8236051537572902</c:v>
                </c:pt>
                <c:pt idx="46" formatCode="General">
                  <c:v>7.8968924058940093</c:v>
                </c:pt>
                <c:pt idx="47" formatCode="General">
                  <c:v>7.9690286057003998</c:v>
                </c:pt>
                <c:pt idx="48" formatCode="General">
                  <c:v>8.0399916500705864</c:v>
                </c:pt>
                <c:pt idx="49" formatCode="General">
                  <c:v>8.1097597953628551</c:v>
                </c:pt>
                <c:pt idx="50" formatCode="General">
                  <c:v>8.1783116640620843</c:v>
                </c:pt>
                <c:pt idx="51" formatCode="General">
                  <c:v>8.2456262513299823</c:v>
                </c:pt>
                <c:pt idx="52" formatCode="General">
                  <c:v>8.3116829314411387</c:v>
                </c:pt>
                <c:pt idx="53" formatCode="General">
                  <c:v>8.3764614641029063</c:v>
                </c:pt>
                <c:pt idx="54" formatCode="General">
                  <c:v>8.4399420006571955</c:v>
                </c:pt>
                <c:pt idx="55" formatCode="General">
                  <c:v>8.5021050901622548</c:v>
                </c:pt>
                <c:pt idx="56" formatCode="General">
                  <c:v>8.5629316853525967</c:v>
                </c:pt>
                <c:pt idx="57" formatCode="General">
                  <c:v>8.6224031484752324</c:v>
                </c:pt>
                <c:pt idx="58" formatCode="General">
                  <c:v>8.6805012570004241</c:v>
                </c:pt>
                <c:pt idx="59" formatCode="General">
                  <c:v>8.7372082092052175</c:v>
                </c:pt>
                <c:pt idx="60" formatCode="General">
                  <c:v>8.7925066296280292</c:v>
                </c:pt>
                <c:pt idx="61" formatCode="General">
                  <c:v>8.8463795743926248</c:v>
                </c:pt>
                <c:pt idx="62" formatCode="General">
                  <c:v>8.8988105363998624</c:v>
                </c:pt>
                <c:pt idx="63" formatCode="General">
                  <c:v>8.9497834503855955</c:v>
                </c:pt>
                <c:pt idx="64" formatCode="General">
                  <c:v>8.9992826978431957</c:v>
                </c:pt>
                <c:pt idx="65" formatCode="General">
                  <c:v>9.0472931118091946</c:v>
                </c:pt>
                <c:pt idx="66" formatCode="General">
                  <c:v>9.0937999815105535</c:v>
                </c:pt>
                <c:pt idx="67" formatCode="General">
                  <c:v>9.1387890568721684</c:v>
                </c:pt>
                <c:pt idx="68" formatCode="General">
                  <c:v>9.1822465528832033</c:v>
                </c:pt>
                <c:pt idx="69" formatCode="General">
                  <c:v>9.224159153820926</c:v>
                </c:pt>
                <c:pt idx="70" formatCode="General">
                  <c:v>9.2645140173307574</c:v>
                </c:pt>
                <c:pt idx="71" formatCode="General">
                  <c:v>9.3032987783612615</c:v>
                </c:pt>
                <c:pt idx="72" formatCode="General">
                  <c:v>9.3405015529529063</c:v>
                </c:pt>
                <c:pt idx="73" formatCode="General">
                  <c:v>9.3761109418793946</c:v>
                </c:pt>
                <c:pt idx="74" formatCode="General">
                  <c:v>9.4101160341404828</c:v>
                </c:pt>
                <c:pt idx="75" formatCode="General">
                  <c:v>9.4425064103051977</c:v>
                </c:pt>
                <c:pt idx="76" formatCode="General">
                  <c:v>9.4732721457044313</c:v>
                </c:pt>
                <c:pt idx="77" formatCode="General">
                  <c:v>9.5024038134719397</c:v>
                </c:pt>
                <c:pt idx="78" formatCode="General">
                  <c:v>9.5298924874328108</c:v>
                </c:pt>
                <c:pt idx="79" formatCode="General">
                  <c:v>9.5557297448385121</c:v>
                </c:pt>
                <c:pt idx="80" formatCode="General">
                  <c:v>9.5799076689476923</c:v>
                </c:pt>
                <c:pt idx="81" formatCode="General">
                  <c:v>9.6024188514519313</c:v>
                </c:pt>
                <c:pt idx="82" formatCode="General">
                  <c:v>9.6232563947457024</c:v>
                </c:pt>
                <c:pt idx="83" formatCode="General">
                  <c:v>9.6424139140398601</c:v>
                </c:pt>
                <c:pt idx="84" formatCode="General">
                  <c:v>9.659885539317985</c:v>
                </c:pt>
                <c:pt idx="85" formatCode="General">
                  <c:v>9.6756659171350048</c:v>
                </c:pt>
                <c:pt idx="86" formatCode="General">
                  <c:v>9.6897502122575325</c:v>
                </c:pt>
                <c:pt idx="87" formatCode="General">
                  <c:v>9.7021341091454225</c:v>
                </c:pt>
                <c:pt idx="88" formatCode="General">
                  <c:v>9.7128138132740833</c:v>
                </c:pt>
                <c:pt idx="89" formatCode="General">
                  <c:v>9.7217860522971513</c:v>
                </c:pt>
                <c:pt idx="90" formatCode="General">
                  <c:v>9.7300221427584859</c:v>
                </c:pt>
                <c:pt idx="91" formatCode="General">
                  <c:v>9.7383577342784911</c:v>
                </c:pt>
                <c:pt idx="92" formatCode="General">
                  <c:v>9.74679281835515</c:v>
                </c:pt>
                <c:pt idx="93" formatCode="General">
                  <c:v>9.7553273863849093</c:v>
                </c:pt>
                <c:pt idx="94" formatCode="General">
                  <c:v>9.7639614296627979</c:v>
                </c:pt>
                <c:pt idx="95" formatCode="General">
                  <c:v>9.7726949393823421</c:v>
                </c:pt>
                <c:pt idx="96" formatCode="General">
                  <c:v>9.7815279066356506</c:v>
                </c:pt>
                <c:pt idx="97" formatCode="General">
                  <c:v>9.7904603224133488</c:v>
                </c:pt>
                <c:pt idx="98" formatCode="General">
                  <c:v>9.7994921776046606</c:v>
                </c:pt>
                <c:pt idx="99" formatCode="General">
                  <c:v>9.8086234629973763</c:v>
                </c:pt>
                <c:pt idx="100" formatCode="General">
                  <c:v>9.8178541692778634</c:v>
                </c:pt>
                <c:pt idx="101" formatCode="General">
                  <c:v>9.8271842870310824</c:v>
                </c:pt>
                <c:pt idx="102" formatCode="General">
                  <c:v>9.8366138067406084</c:v>
                </c:pt>
                <c:pt idx="103" formatCode="General">
                  <c:v>9.8461427187886343</c:v>
                </c:pt>
                <c:pt idx="104" formatCode="General">
                  <c:v>9.8557710134559446</c:v>
                </c:pt>
                <c:pt idx="105" formatCode="General">
                  <c:v>9.865498680921986</c:v>
                </c:pt>
                <c:pt idx="106" formatCode="General">
                  <c:v>9.8753257112648285</c:v>
                </c:pt>
                <c:pt idx="107" formatCode="General">
                  <c:v>9.8852520944612277</c:v>
                </c:pt>
                <c:pt idx="108" formatCode="General">
                  <c:v>9.8952778203865712</c:v>
                </c:pt>
                <c:pt idx="109" formatCode="General">
                  <c:v>9.9054028788149111</c:v>
                </c:pt>
                <c:pt idx="110" formatCode="General">
                  <c:v>9.9156272594190327</c:v>
                </c:pt>
                <c:pt idx="111" formatCode="General">
                  <c:v>9.9259509517703588</c:v>
                </c:pt>
                <c:pt idx="112" formatCode="General">
                  <c:v>9.9363739453390494</c:v>
                </c:pt>
                <c:pt idx="113" formatCode="General">
                  <c:v>9.9468962294939853</c:v>
                </c:pt>
                <c:pt idx="114" formatCode="General">
                  <c:v>9.9575177935027419</c:v>
                </c:pt>
                <c:pt idx="115" formatCode="General">
                  <c:v>9.968238626531674</c:v>
                </c:pt>
                <c:pt idx="116" formatCode="General">
                  <c:v>9.9790587176458487</c:v>
                </c:pt>
                <c:pt idx="117" formatCode="General">
                  <c:v>9.9899780558091233</c:v>
                </c:pt>
                <c:pt idx="118" formatCode="General">
                  <c:v>10.000996629884092</c:v>
                </c:pt>
                <c:pt idx="119" formatCode="General">
                  <c:v>10.012114428632168</c:v>
                </c:pt>
                <c:pt idx="120" formatCode="General">
                  <c:v>10.023331440713525</c:v>
                </c:pt>
                <c:pt idx="121" formatCode="General">
                  <c:v>10.034647654687168</c:v>
                </c:pt>
                <c:pt idx="122" formatCode="General">
                  <c:v>10.046063059010915</c:v>
                </c:pt>
                <c:pt idx="123" formatCode="General">
                  <c:v>10.057577642041394</c:v>
                </c:pt>
                <c:pt idx="124" formatCode="General">
                  <c:v>10.069191392034089</c:v>
                </c:pt>
                <c:pt idx="125" formatCode="General">
                  <c:v>10.080904297143348</c:v>
                </c:pt>
                <c:pt idx="126" formatCode="General">
                  <c:v>10.092716345422357</c:v>
                </c:pt>
                <c:pt idx="127" formatCode="General">
                  <c:v>10.104627524823194</c:v>
                </c:pt>
                <c:pt idx="128" formatCode="General">
                  <c:v>10.116637823196829</c:v>
                </c:pt>
                <c:pt idx="129" formatCode="General">
                  <c:v>10.128747228293129</c:v>
                </c:pt>
                <c:pt idx="130" formatCode="General">
                  <c:v>10.14095572776087</c:v>
                </c:pt>
                <c:pt idx="131" formatCode="General">
                  <c:v>10.153263309147771</c:v>
                </c:pt>
                <c:pt idx="132" formatCode="General">
                  <c:v>10.165669959900471</c:v>
                </c:pt>
                <c:pt idx="133" formatCode="General">
                  <c:v>10.178175667364584</c:v>
                </c:pt>
                <c:pt idx="134" formatCode="General">
                  <c:v>10.190780418784653</c:v>
                </c:pt>
                <c:pt idx="135" formatCode="General">
                  <c:v>10.203484201304242</c:v>
                </c:pt>
                <c:pt idx="136" formatCode="General">
                  <c:v>10.216287001965876</c:v>
                </c:pt>
                <c:pt idx="137" formatCode="General">
                  <c:v>10.229188807711099</c:v>
                </c:pt>
                <c:pt idx="138" formatCode="General">
                  <c:v>10.242189605380473</c:v>
                </c:pt>
                <c:pt idx="139" formatCode="General">
                  <c:v>10.255289381713578</c:v>
                </c:pt>
                <c:pt idx="140" formatCode="General">
                  <c:v>10.268488123349044</c:v>
                </c:pt>
                <c:pt idx="141" formatCode="General">
                  <c:v>10.281785816824577</c:v>
                </c:pt>
                <c:pt idx="142" formatCode="General">
                  <c:v>10.295182448576938</c:v>
                </c:pt>
                <c:pt idx="143" formatCode="General">
                  <c:v>10.308678004941976</c:v>
                </c:pt>
                <c:pt idx="144" formatCode="General">
                  <c:v>10.322272472154635</c:v>
                </c:pt>
                <c:pt idx="145" formatCode="General">
                  <c:v>10.335965836348992</c:v>
                </c:pt>
                <c:pt idx="146" formatCode="General">
                  <c:v>10.349758083558221</c:v>
                </c:pt>
                <c:pt idx="147" formatCode="General">
                  <c:v>10.363649199714677</c:v>
                </c:pt>
                <c:pt idx="148" formatCode="General">
                  <c:v>10.377639170649841</c:v>
                </c:pt>
                <c:pt idx="149" formatCode="General">
                  <c:v>10.614303378228858</c:v>
                </c:pt>
                <c:pt idx="150" formatCode="General">
                  <c:v>10.629587305229197</c:v>
                </c:pt>
                <c:pt idx="151" formatCode="General">
                  <c:v>10.647587838005107</c:v>
                </c:pt>
                <c:pt idx="152" formatCode="General">
                  <c:v>10.668290744449111</c:v>
                </c:pt>
                <c:pt idx="153" formatCode="General">
                  <c:v>10.691679655824057</c:v>
                </c:pt>
                <c:pt idx="154" formatCode="General">
                  <c:v>10.71773607970505</c:v>
                </c:pt>
                <c:pt idx="155" formatCode="General">
                  <c:v>10.74643941460047</c:v>
                </c:pt>
                <c:pt idx="156" formatCode="General">
                  <c:v>10.777766966240527</c:v>
                </c:pt>
                <c:pt idx="157" formatCode="General">
                  <c:v>10.811693965520469</c:v>
                </c:pt>
                <c:pt idx="158" formatCode="General">
                  <c:v>10.848193588084253</c:v>
                </c:pt>
                <c:pt idx="159" formatCode="General">
                  <c:v>10.887236975533209</c:v>
                </c:pt>
                <c:pt idx="160" formatCode="General">
                  <c:v>10.9287932582429</c:v>
                </c:pt>
                <c:pt idx="161" formatCode="General">
                  <c:v>10.972829579770174</c:v>
                </c:pt>
                <c:pt idx="162" formatCode="General">
                  <c:v>11.019311122831084</c:v>
                </c:pt>
                <c:pt idx="163" formatCode="General">
                  <c:v>11.068201136829147</c:v>
                </c:pt>
                <c:pt idx="164" formatCode="General">
                  <c:v>11.119460966912177</c:v>
                </c:pt>
                <c:pt idx="165" formatCode="General">
                  <c:v>11.173050084534708</c:v>
                </c:pt>
                <c:pt idx="166" formatCode="General">
                  <c:v>11.228926119501866</c:v>
                </c:pt>
                <c:pt idx="167" formatCode="General">
                  <c:v>11.287044893469323</c:v>
                </c:pt>
                <c:pt idx="168" formatCode="General">
                  <c:v>11.347360454872879</c:v>
                </c:pt>
                <c:pt idx="169" formatCode="General">
                  <c:v>11.409825115260027</c:v>
                </c:pt>
                <c:pt idx="170" formatCode="General">
                  <c:v>11.474389486994788</c:v>
                </c:pt>
                <c:pt idx="171" formatCode="General">
                  <c:v>11.541002522306014</c:v>
                </c:pt>
                <c:pt idx="172" formatCode="General">
                  <c:v>11.609611553648268</c:v>
                </c:pt>
                <c:pt idx="173" formatCode="General">
                  <c:v>11.680162335343372</c:v>
                </c:pt>
                <c:pt idx="174" formatCode="General">
                  <c:v>11.752599086469722</c:v>
                </c:pt>
                <c:pt idx="175" formatCode="General">
                  <c:v>11.826864534965424</c:v>
                </c:pt>
                <c:pt idx="176" formatCode="General">
                  <c:v>11.902899962910404</c:v>
                </c:pt>
                <c:pt idx="177" formatCode="General">
                  <c:v>11.980645252951691</c:v>
                </c:pt>
                <c:pt idx="178" formatCode="General">
                  <c:v>12.060038935835156</c:v>
                </c:pt>
                <c:pt idx="179" formatCode="General">
                  <c:v>12.141018239006129</c:v>
                </c:pt>
                <c:pt idx="180" formatCode="General">
                  <c:v>12.223519136240473</c:v>
                </c:pt>
                <c:pt idx="181" formatCode="General">
                  <c:v>12.307476398266864</c:v>
                </c:pt>
                <c:pt idx="182" formatCode="General">
                  <c:v>12.392823644340275</c:v>
                </c:pt>
                <c:pt idx="183" formatCode="General">
                  <c:v>12.479493394725852</c:v>
                </c:pt>
                <c:pt idx="184" formatCode="General">
                  <c:v>13.963734355571589</c:v>
                </c:pt>
                <c:pt idx="185" formatCode="General">
                  <c:v>14.049512776244589</c:v>
                </c:pt>
                <c:pt idx="186" formatCode="General">
                  <c:v>14.135586900156152</c:v>
                </c:pt>
                <c:pt idx="187" formatCode="General">
                  <c:v>14.221952685463219</c:v>
                </c:pt>
                <c:pt idx="188" formatCode="General">
                  <c:v>14.308606076626978</c:v>
                </c:pt>
                <c:pt idx="189" formatCode="General">
                  <c:v>14.395543004603308</c:v>
                </c:pt>
                <c:pt idx="190" formatCode="General">
                  <c:v>14.48275938703385</c:v>
                </c:pt>
                <c:pt idx="191" formatCode="General">
                  <c:v>14.570251128437706</c:v>
                </c:pt>
                <c:pt idx="192" formatCode="General">
                  <c:v>14.658014120403756</c:v>
                </c:pt>
                <c:pt idx="193" formatCode="General">
                  <c:v>14.746044241783574</c:v>
                </c:pt>
                <c:pt idx="194" formatCode="General">
                  <c:v>14.834337358884952</c:v>
                </c:pt>
                <c:pt idx="195" formatCode="General">
                  <c:v>14.922889325666006</c:v>
                </c:pt>
                <c:pt idx="196" formatCode="General">
                  <c:v>15.011695983929869</c:v>
                </c:pt>
                <c:pt idx="197" formatCode="General">
                  <c:v>15.100753163519942</c:v>
                </c:pt>
                <c:pt idx="198" formatCode="General">
                  <c:v>15.189747791215899</c:v>
                </c:pt>
                <c:pt idx="199" formatCode="General">
                  <c:v>15.278363311568338</c:v>
                </c:pt>
                <c:pt idx="200" formatCode="General">
                  <c:v>15.366590352445099</c:v>
                </c:pt>
                <c:pt idx="201" formatCode="General">
                  <c:v>15.454419582800289</c:v>
                </c:pt>
                <c:pt idx="202" formatCode="General">
                  <c:v>15.541841713661148</c:v>
                </c:pt>
                <c:pt idx="203" formatCode="General">
                  <c:v>15.628847499110471</c:v>
                </c:pt>
                <c:pt idx="204" formatCode="General">
                  <c:v>15.71542773726447</c:v>
                </c:pt>
                <c:pt idx="205" formatCode="General">
                  <c:v>15.801573271245985</c:v>
                </c:pt>
                <c:pt idx="206" formatCode="General">
                  <c:v>15.887274990152925</c:v>
                </c:pt>
                <c:pt idx="207" formatCode="General">
                  <c:v>15.972523830021856</c:v>
                </c:pt>
                <c:pt idx="208" formatCode="General">
                  <c:v>16.057310774786625</c:v>
                </c:pt>
                <c:pt idx="209" formatCode="General">
                  <c:v>16.141626857231909</c:v>
                </c:pt>
                <c:pt idx="210" formatCode="General">
                  <c:v>16.225463159941604</c:v>
                </c:pt>
                <c:pt idx="211" formatCode="General">
                  <c:v>17.674417377076804</c:v>
                </c:pt>
              </c:numCache>
            </c:numRef>
          </c:xVal>
          <c:yVal>
            <c:numRef>
              <c:f>Trace!$C$2:$C$213</c:f>
              <c:numCache>
                <c:formatCode>0.00</c:formatCode>
                <c:ptCount val="2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-8.5805315371040834E-4</c:v>
                </c:pt>
                <c:pt idx="5" formatCode="General">
                  <c:v>-3.4319497006186821E-3</c:v>
                </c:pt>
                <c:pt idx="6" formatCode="General">
                  <c:v>-7.7209009786127292E-3</c:v>
                </c:pt>
                <c:pt idx="7" formatCode="General">
                  <c:v>-1.3723592819346058E-2</c:v>
                </c:pt>
                <c:pt idx="8" formatCode="General">
                  <c:v>-2.143818595090842E-2</c:v>
                </c:pt>
                <c:pt idx="9" formatCode="General">
                  <c:v>-3.0862316561391098E-2</c:v>
                </c:pt>
                <c:pt idx="10" formatCode="General">
                  <c:v>-4.1993097023180201E-2</c:v>
                </c:pt>
                <c:pt idx="11" formatCode="General">
                  <c:v>-5.4827116777747903E-2</c:v>
                </c:pt>
                <c:pt idx="12" formatCode="General">
                  <c:v>-6.9360443380672362E-2</c:v>
                </c:pt>
                <c:pt idx="13" formatCode="General">
                  <c:v>-8.5588623706572955E-2</c:v>
                </c:pt>
                <c:pt idx="14" formatCode="General">
                  <c:v>-0.10350668531357964</c:v>
                </c:pt>
                <c:pt idx="15" formatCode="General">
                  <c:v>-0.12310913796692982</c:v>
                </c:pt>
                <c:pt idx="16" formatCode="General">
                  <c:v>-0.14438997532121886</c:v>
                </c:pt>
                <c:pt idx="17" formatCode="General">
                  <c:v>-0.16734267676079184</c:v>
                </c:pt>
                <c:pt idx="18" formatCode="General">
                  <c:v>-0.1919602093977115</c:v>
                </c:pt>
                <c:pt idx="19" formatCode="General">
                  <c:v>-0.21823503022669025</c:v>
                </c:pt>
                <c:pt idx="20" formatCode="General">
                  <c:v>-0.24615908843632436</c:v>
                </c:pt>
                <c:pt idx="21" formatCode="General">
                  <c:v>-0.27572382787592981</c:v>
                </c:pt>
                <c:pt idx="22" formatCode="General">
                  <c:v>-0.3069201896772103</c:v>
                </c:pt>
                <c:pt idx="23" formatCode="General">
                  <c:v>-0.33973861502996694</c:v>
                </c:pt>
                <c:pt idx="24" formatCode="General">
                  <c:v>-0.374169048110994</c:v>
                </c:pt>
                <c:pt idx="25" formatCode="General">
                  <c:v>-0.41020093916525818</c:v>
                </c:pt>
                <c:pt idx="26" formatCode="General">
                  <c:v>-0.44782324773843313</c:v>
                </c:pt>
                <c:pt idx="27" formatCode="General">
                  <c:v>-0.48702444605977357</c:v>
                </c:pt>
                <c:pt idx="28" formatCode="General">
                  <c:v>-0.5277925225743203</c:v>
                </c:pt>
                <c:pt idx="29" formatCode="General">
                  <c:v>-0.57011498562333329</c:v>
                </c:pt>
                <c:pt idx="30" formatCode="General">
                  <c:v>-0.61397886727183359</c:v>
                </c:pt>
                <c:pt idx="31" formatCode="General">
                  <c:v>-0.65937072728208024</c:v>
                </c:pt>
                <c:pt idx="32" formatCode="General">
                  <c:v>-0.70627665723176603</c:v>
                </c:pt>
                <c:pt idx="33" formatCode="General">
                  <c:v>-0.7546822847756649</c:v>
                </c:pt>
                <c:pt idx="34" formatCode="General">
                  <c:v>-0.80457277804943428</c:v>
                </c:pt>
                <c:pt idx="35" formatCode="General">
                  <c:v>-0.85593285021421317</c:v>
                </c:pt>
                <c:pt idx="36" formatCode="General">
                  <c:v>-0.90874676414062827</c:v>
                </c:pt>
                <c:pt idx="37" formatCode="General">
                  <c:v>-0.96299833723077777</c:v>
                </c:pt>
                <c:pt idx="38" formatCode="General">
                  <c:v>-3.7662086389331058</c:v>
                </c:pt>
                <c:pt idx="39" formatCode="General">
                  <c:v>-3.8218812581142214</c:v>
                </c:pt>
                <c:pt idx="40" formatCode="General">
                  <c:v>-3.8789578553232773</c:v>
                </c:pt>
                <c:pt idx="41" formatCode="General">
                  <c:v>-3.9374209418365171</c:v>
                </c:pt>
                <c:pt idx="42" formatCode="General">
                  <c:v>-3.9972526040988252</c:v>
                </c:pt>
                <c:pt idx="43" formatCode="General">
                  <c:v>-4.0584345092125806</c:v>
                </c:pt>
                <c:pt idx="44" formatCode="General">
                  <c:v>-4.1209479105550058</c:v>
                </c:pt>
                <c:pt idx="45" formatCode="General">
                  <c:v>-4.1847736535222761</c:v>
                </c:pt>
                <c:pt idx="46" formatCode="General">
                  <c:v>-4.249892181398649</c:v>
                </c:pt>
                <c:pt idx="47" formatCode="General">
                  <c:v>-4.3162835413487919</c:v>
                </c:pt>
                <c:pt idx="48" formatCode="General">
                  <c:v>-4.3839273905314933</c:v>
                </c:pt>
                <c:pt idx="49" formatCode="General">
                  <c:v>-4.4528030023328684</c:v>
                </c:pt>
                <c:pt idx="50" formatCode="General">
                  <c:v>-4.5228892727171637</c:v>
                </c:pt>
                <c:pt idx="51" formatCode="General">
                  <c:v>-4.5941647266931964</c:v>
                </c:pt>
                <c:pt idx="52" formatCode="General">
                  <c:v>-4.6666075248944621</c:v>
                </c:pt>
                <c:pt idx="53" formatCode="General">
                  <c:v>-4.7401954702708968</c:v>
                </c:pt>
                <c:pt idx="54" formatCode="General">
                  <c:v>-4.8149060148902239</c:v>
                </c:pt>
                <c:pt idx="55" formatCode="General">
                  <c:v>-4.8907162668468214</c:v>
                </c:pt>
                <c:pt idx="56" formatCode="General">
                  <c:v>-4.9676029972759865</c:v>
                </c:pt>
                <c:pt idx="57" formatCode="General">
                  <c:v>-5.045542647471442</c:v>
                </c:pt>
                <c:pt idx="58" formatCode="General">
                  <c:v>-5.124511336103911</c:v>
                </c:pt>
                <c:pt idx="59" formatCode="General">
                  <c:v>-5.204484866538551</c:v>
                </c:pt>
                <c:pt idx="60" formatCode="General">
                  <c:v>-5.285438734248987</c:v>
                </c:pt>
                <c:pt idx="61" formatCode="General">
                  <c:v>-5.3673481343257041</c:v>
                </c:pt>
                <c:pt idx="62" formatCode="General">
                  <c:v>-5.4501879690764596</c:v>
                </c:pt>
                <c:pt idx="63" formatCode="General">
                  <c:v>-5.5339328557164205</c:v>
                </c:pt>
                <c:pt idx="64" formatCode="General">
                  <c:v>-5.6185571341456519</c:v>
                </c:pt>
                <c:pt idx="65" formatCode="General">
                  <c:v>-5.7040348748115726</c:v>
                </c:pt>
                <c:pt idx="66" formatCode="General">
                  <c:v>-5.7903398866539781</c:v>
                </c:pt>
                <c:pt idx="67" formatCode="General">
                  <c:v>-5.8774457251301895</c:v>
                </c:pt>
                <c:pt idx="68" formatCode="General">
                  <c:v>-5.9653257003178721</c:v>
                </c:pt>
                <c:pt idx="69" formatCode="General">
                  <c:v>-6.0539528850930413</c:v>
                </c:pt>
                <c:pt idx="70" formatCode="General">
                  <c:v>-6.1433001233807456</c:v>
                </c:pt>
                <c:pt idx="71" formatCode="General">
                  <c:v>-6.2333400384759052</c:v>
                </c:pt>
                <c:pt idx="72" formatCode="General">
                  <c:v>-6.3240450414317522</c:v>
                </c:pt>
                <c:pt idx="73" formatCode="General">
                  <c:v>-6.4153873395133036</c:v>
                </c:pt>
                <c:pt idx="74" formatCode="General">
                  <c:v>-6.5073389447132763</c:v>
                </c:pt>
                <c:pt idx="75" formatCode="General">
                  <c:v>-6.5998716823278372</c:v>
                </c:pt>
                <c:pt idx="76" formatCode="General">
                  <c:v>-6.6929571995895536</c:v>
                </c:pt>
                <c:pt idx="77" formatCode="General">
                  <c:v>-6.7865669743549075</c:v>
                </c:pt>
                <c:pt idx="78" formatCode="General">
                  <c:v>-6.8806723238437106</c:v>
                </c:pt>
                <c:pt idx="79" formatCode="General">
                  <c:v>-6.9752444134277329</c:v>
                </c:pt>
                <c:pt idx="80" formatCode="General">
                  <c:v>-7.0702542654658647</c:v>
                </c:pt>
                <c:pt idx="81" formatCode="General">
                  <c:v>-7.165672768183093</c:v>
                </c:pt>
                <c:pt idx="82" formatCode="General">
                  <c:v>-7.2614706845905861</c:v>
                </c:pt>
                <c:pt idx="83" formatCode="General">
                  <c:v>-7.3576186614441363</c:v>
                </c:pt>
                <c:pt idx="84" formatCode="General">
                  <c:v>-7.4540872382382286</c:v>
                </c:pt>
                <c:pt idx="85" formatCode="General">
                  <c:v>-7.5508468562329742</c:v>
                </c:pt>
                <c:pt idx="86" formatCode="General">
                  <c:v>-7.6478678675111427</c:v>
                </c:pt>
                <c:pt idx="87" formatCode="General">
                  <c:v>-7.7451205440625213</c:v>
                </c:pt>
                <c:pt idx="88" formatCode="General">
                  <c:v>-7.842575086892813</c:v>
                </c:pt>
                <c:pt idx="89" formatCode="General">
                  <c:v>-7.9402016351542866</c:v>
                </c:pt>
                <c:pt idx="90" formatCode="General">
                  <c:v>-8.0387280312398577</c:v>
                </c:pt>
                <c:pt idx="91" formatCode="General">
                  <c:v>-8.1372460591622122</c:v>
                </c:pt>
                <c:pt idx="92" formatCode="General">
                  <c:v>-8.2357556184360092</c:v>
                </c:pt>
                <c:pt idx="93" formatCode="General">
                  <c:v>-8.3342566085845533</c:v>
                </c:pt>
                <c:pt idx="94" formatCode="General">
                  <c:v>-8.4327489291398834</c:v>
                </c:pt>
                <c:pt idx="95" formatCode="General">
                  <c:v>-8.5312324796428829</c:v>
                </c:pt>
                <c:pt idx="96" formatCode="General">
                  <c:v>-8.6297071596433792</c:v>
                </c:pt>
                <c:pt idx="97" formatCode="General">
                  <c:v>-8.7281728687002502</c:v>
                </c:pt>
                <c:pt idx="98" formatCode="General">
                  <c:v>-8.8266295063815221</c:v>
                </c:pt>
                <c:pt idx="99" formatCode="General">
                  <c:v>-8.9250769722644741</c:v>
                </c:pt>
                <c:pt idx="100" formatCode="General">
                  <c:v>-9.0235151659357395</c:v>
                </c:pt>
                <c:pt idx="101" formatCode="General">
                  <c:v>-9.1219439869914094</c:v>
                </c:pt>
                <c:pt idx="102" formatCode="General">
                  <c:v>-9.2203633350371366</c:v>
                </c:pt>
                <c:pt idx="103" formatCode="General">
                  <c:v>-9.318773109688232</c:v>
                </c:pt>
                <c:pt idx="104" formatCode="General">
                  <c:v>-9.4171732105697732</c:v>
                </c:pt>
                <c:pt idx="105" formatCode="General">
                  <c:v>-9.5155635373167069</c:v>
                </c:pt>
                <c:pt idx="106" formatCode="General">
                  <c:v>-9.6139439895739454</c:v>
                </c:pt>
                <c:pt idx="107" formatCode="General">
                  <c:v>-9.7123144669964745</c:v>
                </c:pt>
                <c:pt idx="108" formatCode="General">
                  <c:v>-9.8106748692494552</c:v>
                </c:pt>
                <c:pt idx="109" formatCode="General">
                  <c:v>-9.9090250960083228</c:v>
                </c:pt>
                <c:pt idx="110" formatCode="General">
                  <c:v>-10.007365046958892</c:v>
                </c:pt>
                <c:pt idx="111" formatCode="General">
                  <c:v>-10.105694621797459</c:v>
                </c:pt>
                <c:pt idx="112" formatCode="General">
                  <c:v>-10.204013720230902</c:v>
                </c:pt>
                <c:pt idx="113" formatCode="General">
                  <c:v>-10.302322241976787</c:v>
                </c:pt>
                <c:pt idx="114" formatCode="General">
                  <c:v>-10.400620086763466</c:v>
                </c:pt>
                <c:pt idx="115" formatCode="General">
                  <c:v>-10.49890715433018</c:v>
                </c:pt>
                <c:pt idx="116" formatCode="General">
                  <c:v>-10.597183344427167</c:v>
                </c:pt>
                <c:pt idx="117" formatCode="General">
                  <c:v>-10.695448556815755</c:v>
                </c:pt>
                <c:pt idx="118" formatCode="General">
                  <c:v>-10.793702691268471</c:v>
                </c:pt>
                <c:pt idx="119" formatCode="General">
                  <c:v>-10.891945647569143</c:v>
                </c:pt>
                <c:pt idx="120" formatCode="General">
                  <c:v>-10.990177325512995</c:v>
                </c:pt>
                <c:pt idx="121" formatCode="General">
                  <c:v>-11.08839762490676</c:v>
                </c:pt>
                <c:pt idx="122" formatCode="General">
                  <c:v>-11.186606445568774</c:v>
                </c:pt>
                <c:pt idx="123" formatCode="General">
                  <c:v>-11.284803687329081</c:v>
                </c:pt>
                <c:pt idx="124" formatCode="General">
                  <c:v>-11.382989250029539</c:v>
                </c:pt>
                <c:pt idx="125" formatCode="General">
                  <c:v>-11.481163033523909</c:v>
                </c:pt>
                <c:pt idx="126" formatCode="General">
                  <c:v>-11.579324937677978</c:v>
                </c:pt>
                <c:pt idx="127" formatCode="General">
                  <c:v>-11.677474862369642</c:v>
                </c:pt>
                <c:pt idx="128" formatCode="General">
                  <c:v>-11.775612707489017</c:v>
                </c:pt>
                <c:pt idx="129" formatCode="General">
                  <c:v>-11.873738372938542</c:v>
                </c:pt>
                <c:pt idx="130" formatCode="General">
                  <c:v>-11.971851758633075</c:v>
                </c:pt>
                <c:pt idx="131" formatCode="General">
                  <c:v>-12.069952764500004</c:v>
                </c:pt>
                <c:pt idx="132" formatCode="General">
                  <c:v>-12.168041290479337</c:v>
                </c:pt>
                <c:pt idx="133" formatCode="General">
                  <c:v>-12.266117236523822</c:v>
                </c:pt>
                <c:pt idx="134" formatCode="General">
                  <c:v>-12.364180502599025</c:v>
                </c:pt>
                <c:pt idx="135" formatCode="General">
                  <c:v>-12.462230988683455</c:v>
                </c:pt>
                <c:pt idx="136" formatCode="General">
                  <c:v>-12.560268594768655</c:v>
                </c:pt>
                <c:pt idx="137" formatCode="General">
                  <c:v>-12.658293220859298</c:v>
                </c:pt>
                <c:pt idx="138" formatCode="General">
                  <c:v>-12.756304766973306</c:v>
                </c:pt>
                <c:pt idx="139" formatCode="General">
                  <c:v>-12.854303133141935</c:v>
                </c:pt>
                <c:pt idx="140" formatCode="General">
                  <c:v>-12.952288219409887</c:v>
                </c:pt>
                <c:pt idx="141" formatCode="General">
                  <c:v>-13.050259925835411</c:v>
                </c:pt>
                <c:pt idx="142" formatCode="General">
                  <c:v>-13.148218152490399</c:v>
                </c:pt>
                <c:pt idx="143" formatCode="General">
                  <c:v>-13.246162799460492</c:v>
                </c:pt>
                <c:pt idx="144" formatCode="General">
                  <c:v>-13.344093766845186</c:v>
                </c:pt>
                <c:pt idx="145" formatCode="General">
                  <c:v>-13.442010954757928</c:v>
                </c:pt>
                <c:pt idx="146" formatCode="General">
                  <c:v>-13.539914263326216</c:v>
                </c:pt>
                <c:pt idx="147" formatCode="General">
                  <c:v>-13.637803592691707</c:v>
                </c:pt>
                <c:pt idx="148" formatCode="General">
                  <c:v>-13.735678843010323</c:v>
                </c:pt>
                <c:pt idx="149" formatCode="General">
                  <c:v>-15.385457699425254</c:v>
                </c:pt>
                <c:pt idx="150" formatCode="General">
                  <c:v>-15.482294956028504</c:v>
                </c:pt>
                <c:pt idx="151" formatCode="General">
                  <c:v>-15.578664212074086</c:v>
                </c:pt>
                <c:pt idx="152" formatCode="General">
                  <c:v>-15.674489273283386</c:v>
                </c:pt>
                <c:pt idx="153" formatCode="General">
                  <c:v>-15.769694375645026</c:v>
                </c:pt>
                <c:pt idx="154" formatCode="General">
                  <c:v>-15.864204245317612</c:v>
                </c:pt>
                <c:pt idx="155" formatCode="General">
                  <c:v>-15.957944158144951</c:v>
                </c:pt>
                <c:pt idx="156" formatCode="General">
                  <c:v>-16.050839998736631</c:v>
                </c:pt>
                <c:pt idx="157" formatCode="General">
                  <c:v>-16.142818319067317</c:v>
                </c:pt>
                <c:pt idx="158" formatCode="General">
                  <c:v>-16.233806396548363</c:v>
                </c:pt>
                <c:pt idx="159" formatCode="General">
                  <c:v>-16.323732291525872</c:v>
                </c:pt>
                <c:pt idx="160" formatCode="General">
                  <c:v>-16.412524904159739</c:v>
                </c:pt>
                <c:pt idx="161" formatCode="General">
                  <c:v>-16.50011403063867</c:v>
                </c:pt>
                <c:pt idx="162" formatCode="General">
                  <c:v>-16.586430418686781</c:v>
                </c:pt>
                <c:pt idx="163" formatCode="General">
                  <c:v>-16.671405822317858</c:v>
                </c:pt>
                <c:pt idx="164" formatCode="General">
                  <c:v>-16.75497305579399</c:v>
                </c:pt>
                <c:pt idx="165" formatCode="General">
                  <c:v>-16.837066046745921</c:v>
                </c:pt>
                <c:pt idx="166" formatCode="General">
                  <c:v>-16.917619888413121</c:v>
                </c:pt>
                <c:pt idx="167" formatCode="General">
                  <c:v>-16.996570890962264</c:v>
                </c:pt>
                <c:pt idx="168" formatCode="General">
                  <c:v>-17.073856631843551</c:v>
                </c:pt>
                <c:pt idx="169" formatCode="General">
                  <c:v>-17.149416005145042</c:v>
                </c:pt>
                <c:pt idx="170" formatCode="General">
                  <c:v>-17.223189269906005</c:v>
                </c:pt>
                <c:pt idx="171" formatCode="General">
                  <c:v>-17.295118097351061</c:v>
                </c:pt>
                <c:pt idx="172" formatCode="General">
                  <c:v>-17.365145617007787</c:v>
                </c:pt>
                <c:pt idx="173" formatCode="General">
                  <c:v>-17.433216461671307</c:v>
                </c:pt>
                <c:pt idx="174" formatCode="General">
                  <c:v>-17.499276811180334</c:v>
                </c:pt>
                <c:pt idx="175" formatCode="General">
                  <c:v>-17.563274434970033</c:v>
                </c:pt>
                <c:pt idx="176" formatCode="General">
                  <c:v>-17.625158733368085</c:v>
                </c:pt>
                <c:pt idx="177" formatCode="General">
                  <c:v>-17.684880777601279</c:v>
                </c:pt>
                <c:pt idx="178" formatCode="General">
                  <c:v>-17.742393348481002</c:v>
                </c:pt>
                <c:pt idx="179" formatCode="General">
                  <c:v>-17.79765097373706</c:v>
                </c:pt>
                <c:pt idx="180" formatCode="General">
                  <c:v>-17.850609963970292</c:v>
                </c:pt>
                <c:pt idx="181" formatCode="General">
                  <c:v>-17.901228447195564</c:v>
                </c:pt>
                <c:pt idx="182" formatCode="General">
                  <c:v>-17.949466401947813</c:v>
                </c:pt>
                <c:pt idx="183" formatCode="General">
                  <c:v>-17.995285688924994</c:v>
                </c:pt>
                <c:pt idx="184" formatCode="General">
                  <c:v>-18.753447276167769</c:v>
                </c:pt>
                <c:pt idx="185" formatCode="General">
                  <c:v>-18.796893604760381</c:v>
                </c:pt>
                <c:pt idx="186" formatCode="General">
                  <c:v>-18.839751114186242</c:v>
                </c:pt>
                <c:pt idx="187" formatCode="General">
                  <c:v>-18.882017791955199</c:v>
                </c:pt>
                <c:pt idx="188" formatCode="General">
                  <c:v>-18.923691653321189</c:v>
                </c:pt>
                <c:pt idx="189" formatCode="General">
                  <c:v>-18.96477074137545</c:v>
                </c:pt>
                <c:pt idx="190" formatCode="General">
                  <c:v>-19.005253127138406</c:v>
                </c:pt>
                <c:pt idx="191" formatCode="General">
                  <c:v>-19.045136909650246</c:v>
                </c:pt>
                <c:pt idx="192" formatCode="General">
                  <c:v>-19.084420216060199</c:v>
                </c:pt>
                <c:pt idx="193" formatCode="General">
                  <c:v>-19.123101201714466</c:v>
                </c:pt>
                <c:pt idx="194" formatCode="General">
                  <c:v>-19.161178050242849</c:v>
                </c:pt>
                <c:pt idx="195" formatCode="General">
                  <c:v>-19.198648973644044</c:v>
                </c:pt>
                <c:pt idx="196" formatCode="General">
                  <c:v>-19.235512212369592</c:v>
                </c:pt>
                <c:pt idx="197" formatCode="General">
                  <c:v>-19.271766035406515</c:v>
                </c:pt>
                <c:pt idx="198" formatCode="General">
                  <c:v>-19.308172516366607</c:v>
                </c:pt>
                <c:pt idx="199" formatCode="General">
                  <c:v>-19.345492285488429</c:v>
                </c:pt>
                <c:pt idx="200" formatCode="General">
                  <c:v>-19.383721395768031</c:v>
                </c:pt>
                <c:pt idx="201" formatCode="General">
                  <c:v>-19.422855804027961</c:v>
                </c:pt>
                <c:pt idx="202" formatCode="General">
                  <c:v>-19.462891371344867</c:v>
                </c:pt>
                <c:pt idx="203" formatCode="General">
                  <c:v>-19.503823863487245</c:v>
                </c:pt>
                <c:pt idx="204" formatCode="General">
                  <c:v>-19.545648951363258</c:v>
                </c:pt>
                <c:pt idx="205" formatCode="General">
                  <c:v>-19.588362211478582</c:v>
                </c:pt>
                <c:pt idx="206" formatCode="General">
                  <c:v>-19.631959126404247</c:v>
                </c:pt>
                <c:pt idx="207" formatCode="General">
                  <c:v>-19.676435085254404</c:v>
                </c:pt>
                <c:pt idx="208" formatCode="General">
                  <c:v>-19.721785384173991</c:v>
                </c:pt>
                <c:pt idx="209" formatCode="General">
                  <c:v>-19.768005226836205</c:v>
                </c:pt>
                <c:pt idx="210" formatCode="General">
                  <c:v>-19.815089724949789</c:v>
                </c:pt>
                <c:pt idx="211" formatCode="General">
                  <c:v>-20.63868665237781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Trace!$H$2:$H$213</c15:f>
                <c15:dlblRangeCache>
                  <c:ptCount val="212"/>
                  <c:pt idx="1">
                    <c:v>3</c:v>
                  </c:pt>
                  <c:pt idx="3">
                    <c:v>5</c:v>
                  </c:pt>
                  <c:pt idx="37">
                    <c:v>6</c:v>
                  </c:pt>
                  <c:pt idx="38">
                    <c:v>7</c:v>
                  </c:pt>
                  <c:pt idx="89">
                    <c:v>8</c:v>
                  </c:pt>
                  <c:pt idx="148">
                    <c:v>9</c:v>
                  </c:pt>
                  <c:pt idx="149">
                    <c:v>10</c:v>
                  </c:pt>
                  <c:pt idx="183">
                    <c:v>11</c:v>
                  </c:pt>
                  <c:pt idx="184">
                    <c:v>12</c:v>
                  </c:pt>
                  <c:pt idx="197">
                    <c:v>13</c:v>
                  </c:pt>
                  <c:pt idx="210">
                    <c:v>14</c:v>
                  </c:pt>
                  <c:pt idx="211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D5B3-4FD9-A0F0-0BF592F7F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8869759"/>
        <c:axId val="1388866879"/>
      </c:scatterChart>
      <c:valAx>
        <c:axId val="1388869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x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88866879"/>
        <c:crosses val="autoZero"/>
        <c:crossBetween val="midCat"/>
      </c:valAx>
      <c:valAx>
        <c:axId val="1388866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8886975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9</xdr:col>
      <xdr:colOff>3492500</xdr:colOff>
      <xdr:row>25</xdr:row>
      <xdr:rowOff>152400</xdr:rowOff>
    </xdr:to>
    <xdr:graphicFrame macro="">
      <xdr:nvGraphicFramePr>
        <xdr:cNvPr id="7" name="TraceChart">
          <a:extLst>
            <a:ext uri="{FF2B5EF4-FFF2-40B4-BE49-F238E27FC236}">
              <a16:creationId xmlns:a16="http://schemas.microsoft.com/office/drawing/2014/main" id="{B0BA0854-F677-AFCC-68B2-9598DC12DE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.97/" TargetMode="External"/><Relationship Id="rId1" Type="http://schemas.openxmlformats.org/officeDocument/2006/relationships/hyperlink" Target="http://192.168.1.99:8080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93FC-6EEB-4633-8810-F26A933B0914}">
  <sheetPr codeName="Sheet8"/>
  <dimension ref="C1:C19"/>
  <sheetViews>
    <sheetView workbookViewId="0">
      <selection activeCell="F8" sqref="F8"/>
    </sheetView>
  </sheetViews>
  <sheetFormatPr defaultRowHeight="14.5" x14ac:dyDescent="0.35"/>
  <cols>
    <col min="3" max="3" width="28.6328125" customWidth="1"/>
  </cols>
  <sheetData>
    <row r="1" spans="3:3" ht="18.5" x14ac:dyDescent="0.45">
      <c r="C1" s="16" t="s">
        <v>95</v>
      </c>
    </row>
    <row r="3" spans="3:3" ht="24" customHeight="1" x14ac:dyDescent="0.35">
      <c r="C3" s="17" t="s">
        <v>96</v>
      </c>
    </row>
    <row r="4" spans="3:3" ht="24" customHeight="1" x14ac:dyDescent="0.35">
      <c r="C4" s="17" t="s">
        <v>97</v>
      </c>
    </row>
    <row r="5" spans="3:3" ht="24" customHeight="1" x14ac:dyDescent="0.35">
      <c r="C5" s="17" t="s">
        <v>98</v>
      </c>
    </row>
    <row r="6" spans="3:3" ht="24" customHeight="1" x14ac:dyDescent="0.35">
      <c r="C6" s="17" t="s">
        <v>99</v>
      </c>
    </row>
    <row r="7" spans="3:3" ht="24" customHeight="1" x14ac:dyDescent="0.35">
      <c r="C7" s="17" t="s">
        <v>100</v>
      </c>
    </row>
    <row r="8" spans="3:3" ht="24" customHeight="1" x14ac:dyDescent="0.35">
      <c r="C8" s="17" t="s">
        <v>101</v>
      </c>
    </row>
    <row r="9" spans="3:3" ht="24" customHeight="1" x14ac:dyDescent="0.35">
      <c r="C9" s="17" t="s">
        <v>305</v>
      </c>
    </row>
    <row r="10" spans="3:3" ht="24" customHeight="1" x14ac:dyDescent="0.35">
      <c r="C10" s="17" t="s">
        <v>339</v>
      </c>
    </row>
    <row r="11" spans="3:3" ht="24" customHeight="1" x14ac:dyDescent="0.35">
      <c r="C11" s="17" t="s">
        <v>340</v>
      </c>
    </row>
    <row r="12" spans="3:3" ht="24" customHeight="1" x14ac:dyDescent="0.35">
      <c r="C12" s="42" t="s">
        <v>433</v>
      </c>
    </row>
    <row r="13" spans="3:3" ht="24" customHeight="1" x14ac:dyDescent="0.35">
      <c r="C13" s="42" t="s">
        <v>434</v>
      </c>
    </row>
    <row r="14" spans="3:3" ht="24" customHeight="1" x14ac:dyDescent="0.35">
      <c r="C14" s="17" t="s">
        <v>102</v>
      </c>
    </row>
    <row r="15" spans="3:3" ht="24" customHeight="1" x14ac:dyDescent="0.35">
      <c r="C15" s="42" t="s">
        <v>103</v>
      </c>
    </row>
    <row r="16" spans="3:3" ht="24" customHeight="1" x14ac:dyDescent="0.35">
      <c r="C16" s="17" t="s">
        <v>705</v>
      </c>
    </row>
    <row r="17" spans="3:3" ht="24" customHeight="1" x14ac:dyDescent="0.35">
      <c r="C17" s="27" t="s">
        <v>707</v>
      </c>
    </row>
    <row r="18" spans="3:3" x14ac:dyDescent="0.35">
      <c r="C18" s="18" t="s">
        <v>104</v>
      </c>
    </row>
    <row r="19" spans="3:3" x14ac:dyDescent="0.35">
      <c r="C19" s="18" t="s">
        <v>104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1A2E"/>
  </sheetPr>
  <dimension ref="A1:K65"/>
  <sheetViews>
    <sheetView showGridLines="0" topLeftCell="A17" workbookViewId="0">
      <selection activeCell="C65" sqref="C65"/>
    </sheetView>
  </sheetViews>
  <sheetFormatPr defaultRowHeight="14.5" x14ac:dyDescent="0.35"/>
  <cols>
    <col min="1" max="1" width="2" customWidth="1"/>
    <col min="2" max="3" width="28" customWidth="1"/>
    <col min="4" max="4" width="4" customWidth="1"/>
    <col min="5" max="6" width="28" customWidth="1"/>
    <col min="7" max="7" width="15.54296875" bestFit="1" customWidth="1"/>
  </cols>
  <sheetData>
    <row r="1" spans="1:11" ht="32.15" customHeight="1" x14ac:dyDescent="0.35">
      <c r="A1" s="46" t="s">
        <v>0</v>
      </c>
      <c r="B1" s="45"/>
      <c r="C1" s="45"/>
      <c r="D1" s="45"/>
      <c r="E1" s="45"/>
      <c r="F1" s="45"/>
    </row>
    <row r="3" spans="1:11" x14ac:dyDescent="0.35">
      <c r="B3" s="49" t="s">
        <v>1</v>
      </c>
      <c r="C3" s="45"/>
    </row>
    <row r="4" spans="1:11" x14ac:dyDescent="0.35">
      <c r="B4" s="1" t="s">
        <v>2</v>
      </c>
      <c r="C4" s="9" t="s">
        <v>81</v>
      </c>
    </row>
    <row r="5" spans="1:11" x14ac:dyDescent="0.35">
      <c r="B5" s="1" t="s">
        <v>3</v>
      </c>
      <c r="C5" s="9" t="s">
        <v>82</v>
      </c>
    </row>
    <row r="6" spans="1:11" x14ac:dyDescent="0.35">
      <c r="E6" s="50" t="s">
        <v>4</v>
      </c>
      <c r="F6" s="45"/>
      <c r="J6" t="s">
        <v>4</v>
      </c>
    </row>
    <row r="7" spans="1:11" x14ac:dyDescent="0.35">
      <c r="B7" s="49" t="s">
        <v>5</v>
      </c>
      <c r="C7" s="45"/>
      <c r="E7" s="1" t="s">
        <v>6</v>
      </c>
      <c r="F7" s="23">
        <v>46166.666666666664</v>
      </c>
      <c r="J7" t="s">
        <v>6</v>
      </c>
      <c r="K7">
        <v>46153.666666666664</v>
      </c>
    </row>
    <row r="8" spans="1:11" x14ac:dyDescent="0.35">
      <c r="B8" s="1" t="s">
        <v>7</v>
      </c>
      <c r="C8" s="2">
        <v>-34.9285</v>
      </c>
      <c r="E8" s="1" t="s">
        <v>8</v>
      </c>
      <c r="F8" s="23">
        <v>46166.719074074077</v>
      </c>
      <c r="G8" s="10">
        <f ca="1">NOW()+TIME(0,0,30)</f>
        <v>46169.917466435189</v>
      </c>
      <c r="J8" t="s">
        <v>8</v>
      </c>
      <c r="K8">
        <v>46153.726203703707</v>
      </c>
    </row>
    <row r="9" spans="1:11" x14ac:dyDescent="0.35">
      <c r="B9" s="1" t="s">
        <v>9</v>
      </c>
      <c r="C9" s="2">
        <v>138.60069999999999</v>
      </c>
      <c r="E9" s="1" t="s">
        <v>10</v>
      </c>
      <c r="F9" s="23">
        <f>dataSunriseTime</f>
        <v>46166.298067129632</v>
      </c>
      <c r="J9" t="s">
        <v>10</v>
      </c>
      <c r="K9">
        <v>46153.290451388886</v>
      </c>
    </row>
    <row r="10" spans="1:11" x14ac:dyDescent="0.35">
      <c r="B10" s="1" t="s">
        <v>11</v>
      </c>
      <c r="C10" s="2">
        <v>9.5</v>
      </c>
      <c r="E10" s="1" t="s">
        <v>12</v>
      </c>
      <c r="F10" s="23">
        <v>46166.687824074077</v>
      </c>
      <c r="G10" s="10">
        <f ca="1">NOW()+TIME(0,H10,0)</f>
        <v>46169.917813657412</v>
      </c>
      <c r="H10">
        <v>1</v>
      </c>
      <c r="J10" t="s">
        <v>12</v>
      </c>
      <c r="K10">
        <v>46153.694953703707</v>
      </c>
    </row>
    <row r="11" spans="1:11" x14ac:dyDescent="0.35">
      <c r="B11" s="1" t="s">
        <v>13</v>
      </c>
      <c r="C11" s="2">
        <v>270</v>
      </c>
      <c r="E11" s="1" t="s">
        <v>14</v>
      </c>
      <c r="F11" s="23">
        <v>46166.73296296296</v>
      </c>
      <c r="G11" s="10">
        <f t="shared" ref="G11:G15" ca="1" si="0">NOW()+TIME(0,H11,0)</f>
        <v>46169.918508101851</v>
      </c>
      <c r="H11">
        <v>2</v>
      </c>
      <c r="J11" t="s">
        <v>14</v>
      </c>
      <c r="K11">
        <v>46153.74009259259</v>
      </c>
    </row>
    <row r="12" spans="1:11" x14ac:dyDescent="0.35">
      <c r="E12" s="1" t="s">
        <v>15</v>
      </c>
      <c r="F12" s="23">
        <v>46166.760740740741</v>
      </c>
      <c r="G12" s="10">
        <f t="shared" ca="1" si="0"/>
        <v>46169.919202546298</v>
      </c>
      <c r="H12">
        <v>3</v>
      </c>
      <c r="J12" t="s">
        <v>15</v>
      </c>
      <c r="K12">
        <v>46153.767870370371</v>
      </c>
    </row>
    <row r="13" spans="1:11" x14ac:dyDescent="0.35">
      <c r="B13" s="49" t="s">
        <v>16</v>
      </c>
      <c r="C13" s="45"/>
      <c r="E13" s="1" t="s">
        <v>17</v>
      </c>
      <c r="F13" s="23">
        <v>46166.235567129632</v>
      </c>
      <c r="G13" s="10">
        <f t="shared" ca="1" si="0"/>
        <v>46169.919896990745</v>
      </c>
      <c r="H13">
        <v>4</v>
      </c>
      <c r="J13" t="s">
        <v>17</v>
      </c>
      <c r="K13">
        <v>46153.227951388886</v>
      </c>
    </row>
    <row r="14" spans="1:11" x14ac:dyDescent="0.35">
      <c r="B14" s="1" t="s">
        <v>18</v>
      </c>
      <c r="C14" s="3" t="s">
        <v>19</v>
      </c>
      <c r="E14" s="1" t="s">
        <v>20</v>
      </c>
      <c r="F14" s="23">
        <v>46166.266817129632</v>
      </c>
      <c r="G14" s="10">
        <f t="shared" ca="1" si="0"/>
        <v>46169.920591435184</v>
      </c>
      <c r="H14">
        <v>5</v>
      </c>
      <c r="J14" t="s">
        <v>20</v>
      </c>
      <c r="K14">
        <v>46153.259201388886</v>
      </c>
    </row>
    <row r="15" spans="1:11" x14ac:dyDescent="0.35">
      <c r="E15" s="1" t="s">
        <v>21</v>
      </c>
      <c r="F15" s="23">
        <v>46166.298067129632</v>
      </c>
      <c r="G15" s="10">
        <f t="shared" ca="1" si="0"/>
        <v>46169.921285879631</v>
      </c>
      <c r="H15">
        <v>6</v>
      </c>
      <c r="J15" t="s">
        <v>21</v>
      </c>
      <c r="K15">
        <v>46153.290451388886</v>
      </c>
    </row>
    <row r="16" spans="1:11" x14ac:dyDescent="0.35">
      <c r="B16" s="47" t="s">
        <v>22</v>
      </c>
      <c r="C16" s="45"/>
      <c r="F16" s="22"/>
    </row>
    <row r="17" spans="2:11" x14ac:dyDescent="0.35">
      <c r="B17" s="1" t="s">
        <v>23</v>
      </c>
      <c r="C17" s="2" t="s">
        <v>24</v>
      </c>
      <c r="E17" s="48" t="s">
        <v>25</v>
      </c>
      <c r="F17" s="45"/>
      <c r="J17" t="s">
        <v>25</v>
      </c>
    </row>
    <row r="18" spans="2:11" x14ac:dyDescent="0.35">
      <c r="B18" s="1" t="s">
        <v>26</v>
      </c>
      <c r="C18" s="14" t="s">
        <v>27</v>
      </c>
      <c r="E18" s="1" t="s">
        <v>28</v>
      </c>
      <c r="F18" s="8">
        <v>46166.298067129632</v>
      </c>
      <c r="J18" t="s">
        <v>28</v>
      </c>
      <c r="K18">
        <v>46153.290451388886</v>
      </c>
    </row>
    <row r="19" spans="2:11" x14ac:dyDescent="0.35">
      <c r="B19" s="1" t="s">
        <v>29</v>
      </c>
      <c r="C19" s="15" t="s">
        <v>632</v>
      </c>
      <c r="E19" s="1" t="s">
        <v>30</v>
      </c>
      <c r="F19" s="8">
        <v>46166.278969907406</v>
      </c>
      <c r="J19" t="s">
        <v>30</v>
      </c>
      <c r="K19">
        <v>46153.272835648146</v>
      </c>
    </row>
    <row r="20" spans="2:11" x14ac:dyDescent="0.35">
      <c r="B20" s="1" t="s">
        <v>31</v>
      </c>
      <c r="C20" s="2">
        <v>100</v>
      </c>
      <c r="E20" s="1" t="s">
        <v>32</v>
      </c>
      <c r="F20" s="8">
        <v>46166.738171296296</v>
      </c>
      <c r="J20" t="s">
        <v>32</v>
      </c>
      <c r="K20">
        <v>46153.743807870371</v>
      </c>
    </row>
    <row r="21" spans="2:11" x14ac:dyDescent="0.35">
      <c r="B21" s="1" t="s">
        <v>33</v>
      </c>
      <c r="C21" s="2">
        <v>64</v>
      </c>
      <c r="E21" s="1" t="s">
        <v>34</v>
      </c>
      <c r="F21" s="8">
        <v>46166.759652777779</v>
      </c>
      <c r="J21" t="s">
        <v>34</v>
      </c>
      <c r="K21">
        <v>46153.764918981484</v>
      </c>
    </row>
    <row r="22" spans="2:11" x14ac:dyDescent="0.35">
      <c r="B22" s="1" t="s">
        <v>35</v>
      </c>
      <c r="C22" s="2">
        <v>0</v>
      </c>
      <c r="E22" s="1" t="s">
        <v>36</v>
      </c>
      <c r="F22" s="8">
        <v>46166.780706018515</v>
      </c>
      <c r="J22" t="s">
        <v>36</v>
      </c>
      <c r="K22">
        <v>46153.785671296297</v>
      </c>
    </row>
    <row r="23" spans="2:11" x14ac:dyDescent="0.35">
      <c r="B23" s="1" t="s">
        <v>37</v>
      </c>
      <c r="C23" s="2" t="s">
        <v>687</v>
      </c>
      <c r="J23" t="s">
        <v>118</v>
      </c>
      <c r="K23">
        <v>100</v>
      </c>
    </row>
    <row r="24" spans="2:11" x14ac:dyDescent="0.35">
      <c r="B24" s="1" t="s">
        <v>39</v>
      </c>
      <c r="C24" s="2" t="s">
        <v>40</v>
      </c>
    </row>
    <row r="25" spans="2:11" x14ac:dyDescent="0.35">
      <c r="E25" s="1" t="s">
        <v>742</v>
      </c>
      <c r="F25" s="43">
        <v>0</v>
      </c>
    </row>
    <row r="26" spans="2:11" x14ac:dyDescent="0.35">
      <c r="B26" s="47" t="s">
        <v>41</v>
      </c>
      <c r="C26" s="45"/>
      <c r="E26" s="1" t="s">
        <v>741</v>
      </c>
      <c r="F26" s="23">
        <v>46167.046655092592</v>
      </c>
    </row>
    <row r="27" spans="2:11" x14ac:dyDescent="0.35">
      <c r="B27" s="1" t="s">
        <v>42</v>
      </c>
      <c r="C27" s="2">
        <v>0</v>
      </c>
    </row>
    <row r="28" spans="2:11" x14ac:dyDescent="0.35">
      <c r="B28" s="1" t="s">
        <v>43</v>
      </c>
      <c r="C28" s="2">
        <v>0</v>
      </c>
    </row>
    <row r="29" spans="2:11" x14ac:dyDescent="0.35">
      <c r="B29" s="1" t="s">
        <v>44</v>
      </c>
      <c r="C29" s="2">
        <v>0</v>
      </c>
    </row>
    <row r="30" spans="2:11" x14ac:dyDescent="0.35">
      <c r="B30" s="1" t="s">
        <v>45</v>
      </c>
      <c r="C30" s="2">
        <v>0</v>
      </c>
    </row>
    <row r="31" spans="2:11" x14ac:dyDescent="0.35">
      <c r="B31" s="1" t="s">
        <v>46</v>
      </c>
      <c r="C31" s="2">
        <v>0</v>
      </c>
    </row>
    <row r="32" spans="2:11" x14ac:dyDescent="0.35">
      <c r="B32" s="1" t="s">
        <v>47</v>
      </c>
      <c r="C32" s="2">
        <v>0</v>
      </c>
    </row>
    <row r="34" spans="2:5" x14ac:dyDescent="0.35">
      <c r="B34" s="47" t="s">
        <v>48</v>
      </c>
      <c r="C34" s="45"/>
    </row>
    <row r="35" spans="2:5" x14ac:dyDescent="0.35">
      <c r="B35" s="1" t="s">
        <v>49</v>
      </c>
      <c r="C35" s="2">
        <v>0</v>
      </c>
    </row>
    <row r="36" spans="2:5" x14ac:dyDescent="0.35">
      <c r="B36" s="1" t="s">
        <v>50</v>
      </c>
      <c r="C36" s="2">
        <v>0</v>
      </c>
    </row>
    <row r="37" spans="2:5" x14ac:dyDescent="0.35">
      <c r="B37" s="1" t="s">
        <v>51</v>
      </c>
      <c r="C37" s="2">
        <v>0</v>
      </c>
    </row>
    <row r="38" spans="2:5" x14ac:dyDescent="0.35">
      <c r="B38" s="1" t="s">
        <v>52</v>
      </c>
      <c r="C38" s="2">
        <v>0.95</v>
      </c>
    </row>
    <row r="40" spans="2:5" x14ac:dyDescent="0.35">
      <c r="B40" s="44" t="s">
        <v>110</v>
      </c>
      <c r="C40" s="45"/>
    </row>
    <row r="41" spans="2:5" x14ac:dyDescent="0.35">
      <c r="C41" s="21">
        <v>60</v>
      </c>
      <c r="E41" t="s">
        <v>108</v>
      </c>
    </row>
    <row r="42" spans="2:5" x14ac:dyDescent="0.35">
      <c r="C42" s="21">
        <v>40</v>
      </c>
      <c r="E42" t="s">
        <v>109</v>
      </c>
    </row>
    <row r="44" spans="2:5" x14ac:dyDescent="0.35">
      <c r="B44" s="28" t="s">
        <v>416</v>
      </c>
      <c r="C44" t="s">
        <v>343</v>
      </c>
    </row>
    <row r="45" spans="2:5" x14ac:dyDescent="0.35">
      <c r="B45" s="28" t="s">
        <v>548</v>
      </c>
      <c r="C45">
        <v>-225</v>
      </c>
    </row>
    <row r="46" spans="2:5" x14ac:dyDescent="0.35">
      <c r="B46" s="28" t="s">
        <v>549</v>
      </c>
      <c r="C46">
        <v>225</v>
      </c>
    </row>
    <row r="48" spans="2:5" x14ac:dyDescent="0.35">
      <c r="B48" s="24" t="s">
        <v>880</v>
      </c>
    </row>
    <row r="49" spans="2:4" x14ac:dyDescent="0.35">
      <c r="B49" t="s">
        <v>881</v>
      </c>
      <c r="C49" s="5">
        <v>0.65416666666666667</v>
      </c>
      <c r="D49" t="s">
        <v>882</v>
      </c>
    </row>
    <row r="51" spans="2:4" x14ac:dyDescent="0.35">
      <c r="B51" s="28" t="s">
        <v>935</v>
      </c>
    </row>
    <row r="52" spans="2:4" x14ac:dyDescent="0.35">
      <c r="B52" t="s">
        <v>932</v>
      </c>
      <c r="C52" s="5">
        <v>0.9375</v>
      </c>
      <c r="D52" t="s">
        <v>883</v>
      </c>
    </row>
    <row r="53" spans="2:4" x14ac:dyDescent="0.35">
      <c r="B53" t="s">
        <v>933</v>
      </c>
      <c r="C53" s="5">
        <v>9.375E-2</v>
      </c>
      <c r="D53" t="s">
        <v>883</v>
      </c>
    </row>
    <row r="54" spans="2:4" x14ac:dyDescent="0.35">
      <c r="B54" t="s">
        <v>934</v>
      </c>
      <c r="C54" s="5">
        <v>0.25</v>
      </c>
      <c r="D54" t="s">
        <v>883</v>
      </c>
    </row>
    <row r="56" spans="2:4" x14ac:dyDescent="0.35">
      <c r="B56" s="28" t="s">
        <v>884</v>
      </c>
    </row>
    <row r="57" spans="2:4" x14ac:dyDescent="0.35">
      <c r="B57" t="s">
        <v>885</v>
      </c>
      <c r="C57" s="91">
        <v>3</v>
      </c>
      <c r="D57" t="s">
        <v>886</v>
      </c>
    </row>
    <row r="58" spans="2:4" x14ac:dyDescent="0.35">
      <c r="B58" t="s">
        <v>887</v>
      </c>
      <c r="C58" s="91">
        <v>10</v>
      </c>
      <c r="D58" t="s">
        <v>888</v>
      </c>
    </row>
    <row r="59" spans="2:4" x14ac:dyDescent="0.35">
      <c r="B59" t="s">
        <v>889</v>
      </c>
      <c r="C59" s="91">
        <v>30</v>
      </c>
      <c r="D59" t="s">
        <v>890</v>
      </c>
    </row>
    <row r="61" spans="2:4" x14ac:dyDescent="0.35">
      <c r="B61" s="28" t="s">
        <v>891</v>
      </c>
    </row>
    <row r="62" spans="2:4" x14ac:dyDescent="0.35">
      <c r="B62" s="28"/>
    </row>
    <row r="64" spans="2:4" x14ac:dyDescent="0.35">
      <c r="B64" s="28" t="s">
        <v>903</v>
      </c>
    </row>
    <row r="65" spans="2:4" x14ac:dyDescent="0.35">
      <c r="B65" t="s">
        <v>904</v>
      </c>
      <c r="C65" t="b">
        <v>1</v>
      </c>
      <c r="D65" t="s">
        <v>905</v>
      </c>
    </row>
  </sheetData>
  <mergeCells count="10">
    <mergeCell ref="B40:C40"/>
    <mergeCell ref="A1:F1"/>
    <mergeCell ref="B34:C34"/>
    <mergeCell ref="B26:C26"/>
    <mergeCell ref="E17:F17"/>
    <mergeCell ref="B13:C13"/>
    <mergeCell ref="B16:C16"/>
    <mergeCell ref="E6:F6"/>
    <mergeCell ref="B7:C7"/>
    <mergeCell ref="B3:C3"/>
  </mergeCells>
  <hyperlinks>
    <hyperlink ref="C4" r:id="rId1" xr:uid="{CA12EC11-7D06-4EE5-822C-6797BA2AD2E9}"/>
    <hyperlink ref="C5" r:id="rId2" xr:uid="{43EEA243-DA00-4B57-9F43-6625D4CF3ADA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4A1A5-EBEE-40F4-8653-026418FD6B9E}">
  <sheetPr codeName="Sheet11"/>
  <dimension ref="B1:AM28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B18" sqref="AB18"/>
    </sheetView>
  </sheetViews>
  <sheetFormatPr defaultColWidth="8.6328125" defaultRowHeight="14.5" x14ac:dyDescent="0.35"/>
  <cols>
    <col min="1" max="1" width="8.6328125" style="64"/>
    <col min="2" max="2" width="6" style="64" customWidth="1"/>
    <col min="3" max="4" width="9" style="64" customWidth="1"/>
    <col min="5" max="5" width="11" style="64" customWidth="1"/>
    <col min="6" max="6" width="8" style="64" customWidth="1"/>
    <col min="7" max="7" width="7" style="64" customWidth="1"/>
    <col min="8" max="8" width="6" style="64" customWidth="1"/>
    <col min="9" max="10" width="10" style="64" customWidth="1"/>
    <col min="11" max="11" width="38" style="64" customWidth="1"/>
    <col min="12" max="12" width="2" style="64" customWidth="1"/>
    <col min="13" max="13" width="7" style="64" customWidth="1"/>
    <col min="14" max="15" width="11" style="64" customWidth="1"/>
    <col min="16" max="18" width="9" style="64" customWidth="1"/>
    <col min="19" max="19" width="12" style="64" customWidth="1"/>
    <col min="20" max="20" width="10" style="64" customWidth="1"/>
    <col min="21" max="21" width="14" style="64" customWidth="1"/>
    <col min="22" max="25" width="8" style="64" customWidth="1"/>
    <col min="26" max="26" width="16" style="64" customWidth="1"/>
    <col min="27" max="27" width="8" style="64" customWidth="1"/>
    <col min="28" max="28" width="32" style="64" customWidth="1"/>
    <col min="29" max="29" width="10" style="64" customWidth="1"/>
    <col min="30" max="30" width="9" style="64" customWidth="1"/>
    <col min="31" max="31" width="10" style="64" customWidth="1"/>
    <col min="32" max="32" width="8" style="64" customWidth="1"/>
    <col min="33" max="33" width="10" style="64" customWidth="1"/>
    <col min="34" max="34" width="6" style="64" customWidth="1"/>
    <col min="35" max="35" width="8" style="64" customWidth="1"/>
    <col min="36" max="36" width="9" style="64" customWidth="1"/>
    <col min="37" max="38" width="10" style="64" customWidth="1"/>
    <col min="39" max="39" width="28" style="64" customWidth="1"/>
    <col min="40" max="16384" width="8.6328125" style="64"/>
  </cols>
  <sheetData>
    <row r="1" spans="2:39" ht="21.75" customHeight="1" x14ac:dyDescent="0.35">
      <c r="B1" s="63" t="s">
        <v>794</v>
      </c>
    </row>
    <row r="3" spans="2:39" ht="19.5" customHeight="1" x14ac:dyDescent="0.35">
      <c r="B3" s="65" t="s">
        <v>795</v>
      </c>
      <c r="C3" s="66"/>
      <c r="D3" s="66"/>
      <c r="E3" s="66"/>
      <c r="F3" s="66"/>
      <c r="G3" s="66"/>
      <c r="H3" s="66"/>
      <c r="I3" s="66"/>
      <c r="J3" s="66"/>
      <c r="K3" s="66"/>
      <c r="M3" s="67" t="s">
        <v>796</v>
      </c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D3" s="66"/>
      <c r="AE3" s="66"/>
      <c r="AF3" s="66"/>
      <c r="AG3" s="66"/>
      <c r="AH3" s="66"/>
      <c r="AI3" s="66"/>
      <c r="AJ3" s="66"/>
      <c r="AK3" s="66"/>
      <c r="AL3" s="66"/>
      <c r="AM3" s="66"/>
    </row>
    <row r="5" spans="2:39" ht="27.75" customHeight="1" x14ac:dyDescent="0.35">
      <c r="B5" s="68" t="s">
        <v>797</v>
      </c>
      <c r="C5" s="69" t="s">
        <v>69</v>
      </c>
      <c r="D5" s="69" t="s">
        <v>798</v>
      </c>
      <c r="E5" s="69" t="s">
        <v>51</v>
      </c>
      <c r="F5" s="69" t="s">
        <v>799</v>
      </c>
      <c r="G5" s="69" t="s">
        <v>800</v>
      </c>
      <c r="H5" s="69"/>
      <c r="I5" s="68" t="s">
        <v>801</v>
      </c>
      <c r="J5" s="68" t="s">
        <v>802</v>
      </c>
      <c r="K5" s="69" t="s">
        <v>803</v>
      </c>
      <c r="M5" s="70" t="s">
        <v>797</v>
      </c>
      <c r="N5" s="71" t="s">
        <v>804</v>
      </c>
      <c r="O5" s="71" t="s">
        <v>805</v>
      </c>
      <c r="P5" s="71" t="s">
        <v>806</v>
      </c>
      <c r="Q5" s="70" t="s">
        <v>807</v>
      </c>
      <c r="R5" s="70" t="s">
        <v>808</v>
      </c>
      <c r="S5" s="71" t="s">
        <v>69</v>
      </c>
      <c r="T5" s="71" t="s">
        <v>809</v>
      </c>
      <c r="U5" s="71" t="s">
        <v>810</v>
      </c>
      <c r="V5" s="71" t="s">
        <v>811</v>
      </c>
      <c r="W5" s="71" t="s">
        <v>812</v>
      </c>
      <c r="X5" s="71" t="s">
        <v>813</v>
      </c>
      <c r="Y5" s="71" t="s">
        <v>814</v>
      </c>
      <c r="Z5" s="71" t="s">
        <v>815</v>
      </c>
      <c r="AA5" s="70" t="s">
        <v>816</v>
      </c>
      <c r="AB5" s="71" t="s">
        <v>803</v>
      </c>
      <c r="AC5" s="72"/>
      <c r="AD5" s="69" t="s">
        <v>817</v>
      </c>
      <c r="AE5" s="69" t="s">
        <v>818</v>
      </c>
      <c r="AF5" s="69" t="s">
        <v>76</v>
      </c>
      <c r="AG5" s="69" t="s">
        <v>819</v>
      </c>
      <c r="AH5" s="69" t="s">
        <v>820</v>
      </c>
      <c r="AI5" s="69" t="s">
        <v>811</v>
      </c>
      <c r="AJ5" s="69" t="s">
        <v>64</v>
      </c>
      <c r="AK5" s="69" t="s">
        <v>813</v>
      </c>
      <c r="AL5" s="69" t="s">
        <v>814</v>
      </c>
      <c r="AM5" s="69" t="s">
        <v>821</v>
      </c>
    </row>
    <row r="6" spans="2:39" ht="15" customHeight="1" x14ac:dyDescent="0.35">
      <c r="B6" s="73" t="str">
        <f t="shared" ref="B6:B12" si="0">"WP" &amp; TEXT(ROW()-5,"00")</f>
        <v>WP01</v>
      </c>
      <c r="C6" s="74" t="s">
        <v>822</v>
      </c>
      <c r="D6" s="75"/>
      <c r="E6" s="75"/>
      <c r="F6" s="75"/>
      <c r="G6" s="75"/>
      <c r="H6" s="74"/>
      <c r="I6" s="76">
        <f>IF(ISBLANK(D6),0,D6)</f>
        <v>0</v>
      </c>
      <c r="J6" s="77">
        <f>dataShootStart</f>
        <v>0.65416666666666667</v>
      </c>
      <c r="K6" s="74" t="s">
        <v>823</v>
      </c>
      <c r="M6" s="78" t="str">
        <f>"GP" &amp; TEXT(ROW()-5,"00")</f>
        <v>GP01</v>
      </c>
      <c r="N6" s="79" t="s">
        <v>824</v>
      </c>
      <c r="O6" s="79" t="s">
        <v>825</v>
      </c>
      <c r="P6" s="79"/>
      <c r="Q6" s="80">
        <f>IF(N6="WP",INDEX($J$6:$J$20,MATCH(O6,$B$6:$B$20,0))+IFERROR(P6,0)/1440,IF(N6="TIME",IFERROR(TIMEVALUE(O6),"")+IFERROR(P6,0)/1440,IF(N6="ASTRO",IF(O6="sunset",dataSunsetTime,IF(O6="sunrise",dataSunriseTime,IF(O6="moonrise",dataMoonriseTime,IF(O6="moonset",dataMoonsetTime,IF(O6="gcrise",dataGCRiseTime,IF(O6="gctransit",dataGCTransitTime,IF(O6="gcset",dataGCSetTime,"")))))))+IFERROR(P6,0)/1440,"")))</f>
        <v>0.65416666666666667</v>
      </c>
      <c r="R6" s="80">
        <f>IF(OR(Q6="",Q7=""),"",Q7-Q6)</f>
        <v>3.3333333333333215E-2</v>
      </c>
      <c r="S6" s="79" t="s">
        <v>826</v>
      </c>
      <c r="T6" s="79" t="s">
        <v>827</v>
      </c>
      <c r="U6" s="79" t="s">
        <v>828</v>
      </c>
      <c r="V6" s="79" t="s">
        <v>827</v>
      </c>
      <c r="W6" s="79" t="s">
        <v>827</v>
      </c>
      <c r="X6" s="79">
        <v>0</v>
      </c>
      <c r="Y6" s="79">
        <v>0</v>
      </c>
      <c r="Z6" s="79" t="s">
        <v>829</v>
      </c>
      <c r="AA6" s="81" t="s">
        <v>827</v>
      </c>
      <c r="AB6" s="79" t="s">
        <v>830</v>
      </c>
      <c r="AC6" s="72"/>
      <c r="AD6" s="82">
        <v>2</v>
      </c>
      <c r="AE6" s="82" t="s">
        <v>831</v>
      </c>
      <c r="AF6" s="82" t="s">
        <v>832</v>
      </c>
      <c r="AG6" s="82"/>
      <c r="AH6" s="82"/>
      <c r="AI6" s="82">
        <v>47.3</v>
      </c>
      <c r="AJ6" s="82">
        <v>12</v>
      </c>
      <c r="AK6" s="82"/>
      <c r="AL6" s="82"/>
      <c r="AM6" s="82" t="s">
        <v>833</v>
      </c>
    </row>
    <row r="7" spans="2:39" ht="15" customHeight="1" x14ac:dyDescent="0.35">
      <c r="B7" s="73" t="str">
        <f t="shared" si="0"/>
        <v>WP02</v>
      </c>
      <c r="C7" s="74" t="s">
        <v>822</v>
      </c>
      <c r="D7" s="74">
        <v>1</v>
      </c>
      <c r="E7" s="74">
        <v>5</v>
      </c>
      <c r="F7" s="74">
        <v>0</v>
      </c>
      <c r="G7" s="74"/>
      <c r="H7" s="74"/>
      <c r="I7" s="76">
        <f t="shared" ref="I7:I12" si="1">I6+IF(ISBLANK(D7),0,D7)</f>
        <v>1</v>
      </c>
      <c r="J7" s="77">
        <f t="shared" ref="J7:J12" si="2">IF(C7="DRIVE",J6+IF(E7&gt;0,D7/E7/24,0),IF(C7="STOP",J6+IF(ISBLANK(G7),0,G7/86400),J6))</f>
        <v>0.66249999999999998</v>
      </c>
      <c r="K7" s="74" t="s">
        <v>834</v>
      </c>
      <c r="M7" s="78" t="str">
        <f>"GP" &amp; TEXT(ROW()-5,"00")</f>
        <v>GP02</v>
      </c>
      <c r="N7" s="79" t="s">
        <v>824</v>
      </c>
      <c r="O7" s="79" t="s">
        <v>835</v>
      </c>
      <c r="P7" s="79"/>
      <c r="Q7" s="80">
        <f>IF(N7="WP",INDEX($J$6:$J$20,MATCH(O7,$B$6:$B$20,0))+IFERROR(P7,0)/1440,IF(N7="TIME",IFERROR(TIMEVALUE(O7),"")+IFERROR(P7,0)/1440,IF(N7="ASTRO",IF(O7="sunset",dataSunsetTime,IF(O7="sunrise",dataSunriseTime,IF(O7="moonrise",dataMoonriseTime,IF(O7="moonset",dataMoonsetTime,IF(O7="gcrise",dataGCRiseTime,IF(O7="gctransit",dataGCTransitTime,IF(O7="gcset",dataGCSetTime,"")))))))+IFERROR(P7,0)/1440,"")))</f>
        <v>0.68749999999999989</v>
      </c>
      <c r="R7" s="80">
        <f>IF(OR(Q7="",Q8=""),"",Q8-Q7)</f>
        <v>46166.031574074077</v>
      </c>
      <c r="S7" s="79" t="s">
        <v>836</v>
      </c>
      <c r="T7" s="79" t="s">
        <v>837</v>
      </c>
      <c r="U7" s="79" t="s">
        <v>838</v>
      </c>
      <c r="V7" s="79" t="s">
        <v>827</v>
      </c>
      <c r="W7" s="79" t="s">
        <v>827</v>
      </c>
      <c r="X7" s="79">
        <v>0</v>
      </c>
      <c r="Y7" s="79">
        <v>0</v>
      </c>
      <c r="Z7" s="79" t="s">
        <v>839</v>
      </c>
      <c r="AA7" s="81" t="s">
        <v>840</v>
      </c>
      <c r="AB7" s="79" t="s">
        <v>841</v>
      </c>
      <c r="AC7" s="72"/>
      <c r="AD7" s="82">
        <v>3</v>
      </c>
      <c r="AE7" s="82" t="s">
        <v>842</v>
      </c>
      <c r="AF7" s="82" t="s">
        <v>832</v>
      </c>
      <c r="AG7" s="82"/>
      <c r="AH7" s="82"/>
      <c r="AI7" s="82">
        <v>105.8</v>
      </c>
      <c r="AJ7" s="82">
        <v>8</v>
      </c>
      <c r="AK7" s="82"/>
      <c r="AL7" s="82"/>
      <c r="AM7" s="82" t="s">
        <v>843</v>
      </c>
    </row>
    <row r="8" spans="2:39" ht="15" customHeight="1" x14ac:dyDescent="0.35">
      <c r="B8" s="73" t="str">
        <f t="shared" si="0"/>
        <v>WP03</v>
      </c>
      <c r="C8" s="74" t="s">
        <v>822</v>
      </c>
      <c r="D8" s="74">
        <v>1</v>
      </c>
      <c r="E8" s="74">
        <v>5</v>
      </c>
      <c r="F8" s="74">
        <v>20</v>
      </c>
      <c r="G8" s="74"/>
      <c r="H8" s="74"/>
      <c r="I8" s="76">
        <f t="shared" si="1"/>
        <v>2</v>
      </c>
      <c r="J8" s="77">
        <f t="shared" si="2"/>
        <v>0.67083333333333328</v>
      </c>
      <c r="K8" s="74" t="s">
        <v>844</v>
      </c>
      <c r="M8" s="78" t="str">
        <f>"GP" &amp; TEXT(ROW()-5,"00")</f>
        <v>GP03</v>
      </c>
      <c r="N8" s="79" t="s">
        <v>90</v>
      </c>
      <c r="O8" s="79" t="s">
        <v>845</v>
      </c>
      <c r="P8" s="79"/>
      <c r="Q8" s="80">
        <f>IF(N8="WP",INDEX($J$6:$J$20,MATCH(O8,$B$6:$B$20,0))+IFERROR(P8,0)/1440,IF(N8="TIME",IFERROR(TIMEVALUE(O8),"")+IFERROR(P8,0)/1440,IF(N8="ASTRO",IF(O8="sunset",dataSunsetTime,IF(O8="sunrise",dataSunriseTime,IF(O8="moonrise",dataMoonriseTime,IF(O8="moonset",dataMoonsetTime,IF(O8="gcrise",dataGCRiseTime,IF(O8="gctransit",dataGCTransitTime,IF(O8="gcset",dataGCSetTime,"")))))))+IFERROR(P8,0)/1440,"")))</f>
        <v>46166.719074074077</v>
      </c>
      <c r="R8" s="80">
        <f>IF(OR(Q8="",Q9=""),"",Q9-Q8)</f>
        <v>8.3333333335758653E-2</v>
      </c>
      <c r="S8" s="79" t="s">
        <v>846</v>
      </c>
      <c r="T8" s="94" t="s">
        <v>837</v>
      </c>
      <c r="U8" s="79" t="s">
        <v>838</v>
      </c>
      <c r="V8" s="79" t="s">
        <v>827</v>
      </c>
      <c r="W8" s="79" t="s">
        <v>827</v>
      </c>
      <c r="X8" s="79">
        <v>30</v>
      </c>
      <c r="Y8" s="79">
        <v>20</v>
      </c>
      <c r="Z8" s="79" t="s">
        <v>839</v>
      </c>
      <c r="AA8" s="81" t="s">
        <v>847</v>
      </c>
      <c r="AB8" s="79" t="s">
        <v>848</v>
      </c>
      <c r="AC8" s="72"/>
      <c r="AD8" s="82">
        <v>4</v>
      </c>
      <c r="AE8" s="82" t="s">
        <v>849</v>
      </c>
      <c r="AF8" s="82" t="s">
        <v>832</v>
      </c>
      <c r="AG8" s="82"/>
      <c r="AH8" s="82"/>
      <c r="AI8" s="82">
        <v>200.1</v>
      </c>
      <c r="AJ8" s="82">
        <v>22</v>
      </c>
      <c r="AK8" s="82"/>
      <c r="AL8" s="82"/>
      <c r="AM8" s="82" t="s">
        <v>850</v>
      </c>
    </row>
    <row r="9" spans="2:39" ht="15" customHeight="1" x14ac:dyDescent="0.35">
      <c r="B9" s="73" t="str">
        <f t="shared" si="0"/>
        <v>WP04</v>
      </c>
      <c r="C9" s="74" t="s">
        <v>822</v>
      </c>
      <c r="D9" s="74">
        <v>1</v>
      </c>
      <c r="E9" s="74">
        <v>5</v>
      </c>
      <c r="F9" s="74">
        <v>0</v>
      </c>
      <c r="G9" s="74"/>
      <c r="H9" s="74"/>
      <c r="I9" s="76">
        <f t="shared" si="1"/>
        <v>3</v>
      </c>
      <c r="J9" s="77">
        <f t="shared" si="2"/>
        <v>0.67916666666666659</v>
      </c>
      <c r="K9" s="74" t="s">
        <v>851</v>
      </c>
      <c r="M9" s="83" t="str">
        <f>"GP" &amp; TEXT(ROW()-5,"00")</f>
        <v>GP04</v>
      </c>
      <c r="N9" s="84" t="s">
        <v>90</v>
      </c>
      <c r="O9" s="84" t="s">
        <v>845</v>
      </c>
      <c r="P9" s="84">
        <v>120</v>
      </c>
      <c r="Q9" s="85">
        <f>IF(N9="WP",INDEX($J$6:$J$20,MATCH(O9,$B$6:$B$20,0))+IFERROR(P9,0)/1440,IF(N9="TIME",IFERROR(TIMEVALUE(O9),"")+IFERROR(P9,0)/1440,IF(N9="ASTRO",IF(O9="sunset",dataSunsetTime,IF(O9="sunrise",dataSunriseTime,IF(O9="moonrise",dataMoonriseTime,IF(O9="moonset",dataMoonsetTime,IF(O9="gcrise",dataGCRiseTime,IF(O9="gctransit",dataGCTransitTime,IF(O9="gcset",dataGCSetTime,"")))))))+IFERROR(P9,0)/1440,"")))</f>
        <v>46166.802407407413</v>
      </c>
      <c r="R9" s="85" t="str">
        <f>IF(OR(Q9="",Q10=""),"",Q10-Q9)</f>
        <v/>
      </c>
      <c r="S9" s="84" t="s">
        <v>852</v>
      </c>
      <c r="T9" s="84" t="s">
        <v>827</v>
      </c>
      <c r="U9" s="84" t="s">
        <v>827</v>
      </c>
      <c r="V9" s="84" t="s">
        <v>827</v>
      </c>
      <c r="W9" s="84" t="s">
        <v>827</v>
      </c>
      <c r="X9" s="84"/>
      <c r="Y9" s="84"/>
      <c r="Z9" s="84" t="s">
        <v>827</v>
      </c>
      <c r="AA9" s="81" t="s">
        <v>827</v>
      </c>
      <c r="AB9" s="79" t="s">
        <v>853</v>
      </c>
      <c r="AC9" s="72"/>
      <c r="AD9" s="82">
        <v>5</v>
      </c>
      <c r="AE9" s="82" t="s">
        <v>854</v>
      </c>
      <c r="AF9" s="82" t="s">
        <v>855</v>
      </c>
      <c r="AG9" s="82" t="s">
        <v>845</v>
      </c>
      <c r="AH9" s="82" t="s">
        <v>856</v>
      </c>
      <c r="AI9" s="82"/>
      <c r="AJ9" s="82"/>
      <c r="AK9" s="82">
        <v>30</v>
      </c>
      <c r="AL9" s="82">
        <v>20</v>
      </c>
      <c r="AM9" s="82" t="s">
        <v>857</v>
      </c>
    </row>
    <row r="10" spans="2:39" ht="15" customHeight="1" x14ac:dyDescent="0.35">
      <c r="B10" s="73" t="str">
        <f t="shared" si="0"/>
        <v>WP05</v>
      </c>
      <c r="C10" s="74" t="s">
        <v>822</v>
      </c>
      <c r="D10" s="74">
        <v>1</v>
      </c>
      <c r="E10" s="74">
        <v>5</v>
      </c>
      <c r="F10" s="74">
        <v>-20</v>
      </c>
      <c r="G10" s="74"/>
      <c r="H10" s="74"/>
      <c r="I10" s="76">
        <f t="shared" si="1"/>
        <v>4</v>
      </c>
      <c r="J10" s="77">
        <f t="shared" si="2"/>
        <v>0.68749999999999989</v>
      </c>
      <c r="K10" s="74" t="s">
        <v>858</v>
      </c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3"/>
      <c r="AB10" s="93"/>
      <c r="AC10" s="72"/>
      <c r="AD10" s="82">
        <v>6</v>
      </c>
      <c r="AE10" s="82" t="s">
        <v>859</v>
      </c>
      <c r="AF10" s="82" t="s">
        <v>855</v>
      </c>
      <c r="AG10" s="82" t="s">
        <v>860</v>
      </c>
      <c r="AH10" s="82" t="s">
        <v>861</v>
      </c>
      <c r="AI10" s="82"/>
      <c r="AJ10" s="82"/>
      <c r="AK10" s="82">
        <v>-5</v>
      </c>
      <c r="AL10" s="82">
        <v>-3</v>
      </c>
      <c r="AM10" s="82" t="s">
        <v>862</v>
      </c>
    </row>
    <row r="11" spans="2:39" ht="15" customHeight="1" x14ac:dyDescent="0.35">
      <c r="B11" s="73" t="str">
        <f t="shared" si="0"/>
        <v>WP06</v>
      </c>
      <c r="C11" s="74" t="s">
        <v>822</v>
      </c>
      <c r="D11" s="74">
        <v>2.67</v>
      </c>
      <c r="E11" s="74">
        <v>5</v>
      </c>
      <c r="F11" s="74">
        <v>0</v>
      </c>
      <c r="G11" s="74"/>
      <c r="H11" s="74"/>
      <c r="I11" s="76">
        <f t="shared" si="1"/>
        <v>6.67</v>
      </c>
      <c r="J11" s="77">
        <f t="shared" si="2"/>
        <v>0.70974999999999988</v>
      </c>
      <c r="K11" s="74" t="s">
        <v>863</v>
      </c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86"/>
      <c r="AD11" s="86"/>
      <c r="AE11" s="86"/>
      <c r="AF11" s="86"/>
      <c r="AG11" s="86"/>
      <c r="AH11" s="86"/>
      <c r="AI11" s="86"/>
      <c r="AJ11" s="86"/>
      <c r="AK11" s="86"/>
      <c r="AL11" s="86"/>
    </row>
    <row r="12" spans="2:39" ht="15" customHeight="1" x14ac:dyDescent="0.35">
      <c r="B12" s="73" t="str">
        <f t="shared" si="0"/>
        <v>WP07</v>
      </c>
      <c r="C12" s="74" t="s">
        <v>864</v>
      </c>
      <c r="D12" s="74"/>
      <c r="E12" s="74">
        <v>0</v>
      </c>
      <c r="F12" s="74"/>
      <c r="G12" s="74">
        <v>0</v>
      </c>
      <c r="H12" s="74"/>
      <c r="I12" s="76">
        <f t="shared" si="1"/>
        <v>6.67</v>
      </c>
      <c r="J12" s="77">
        <f t="shared" si="2"/>
        <v>0.70974999999999988</v>
      </c>
      <c r="K12" s="74" t="s">
        <v>865</v>
      </c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</row>
    <row r="13" spans="2:39" x14ac:dyDescent="0.35"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</row>
    <row r="14" spans="2:39" x14ac:dyDescent="0.35"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</row>
    <row r="15" spans="2:39" x14ac:dyDescent="0.35"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</row>
    <row r="16" spans="2:39" ht="15" customHeight="1" x14ac:dyDescent="0.35">
      <c r="B16" s="87" t="s">
        <v>866</v>
      </c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</row>
    <row r="17" spans="2:38" ht="15" customHeight="1" x14ac:dyDescent="0.35">
      <c r="B17" s="88" t="s">
        <v>867</v>
      </c>
      <c r="C17" s="64" t="s">
        <v>868</v>
      </c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</row>
    <row r="18" spans="2:38" ht="15" customHeight="1" x14ac:dyDescent="0.35">
      <c r="B18" s="89" t="s">
        <v>869</v>
      </c>
      <c r="C18" s="64" t="s">
        <v>870</v>
      </c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</row>
    <row r="19" spans="2:38" ht="15" customHeight="1" x14ac:dyDescent="0.35">
      <c r="B19" s="90" t="s">
        <v>871</v>
      </c>
      <c r="C19" s="64" t="s">
        <v>872</v>
      </c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</row>
    <row r="20" spans="2:38" x14ac:dyDescent="0.35"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</row>
    <row r="21" spans="2:38" x14ac:dyDescent="0.35"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</row>
    <row r="22" spans="2:38" ht="15" customHeight="1" x14ac:dyDescent="0.35">
      <c r="B22" s="87" t="s">
        <v>873</v>
      </c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</row>
    <row r="23" spans="2:38" ht="15" customHeight="1" x14ac:dyDescent="0.35">
      <c r="B23" s="64" t="s">
        <v>874</v>
      </c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</row>
    <row r="24" spans="2:38" ht="15" customHeight="1" x14ac:dyDescent="0.35">
      <c r="B24" s="64" t="s">
        <v>875</v>
      </c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</row>
    <row r="25" spans="2:38" ht="15" customHeight="1" x14ac:dyDescent="0.35">
      <c r="B25" s="64" t="s">
        <v>876</v>
      </c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</row>
    <row r="26" spans="2:38" ht="15" customHeight="1" x14ac:dyDescent="0.35">
      <c r="B26" s="64" t="s">
        <v>877</v>
      </c>
    </row>
    <row r="27" spans="2:38" ht="15" customHeight="1" x14ac:dyDescent="0.35">
      <c r="B27" s="64" t="s">
        <v>878</v>
      </c>
    </row>
    <row r="28" spans="2:38" ht="15" customHeight="1" x14ac:dyDescent="0.35">
      <c r="B28" s="64" t="s">
        <v>879</v>
      </c>
    </row>
  </sheetData>
  <mergeCells count="3">
    <mergeCell ref="B3:K3"/>
    <mergeCell ref="M3:AB3"/>
    <mergeCell ref="AD3:AM3"/>
  </mergeCells>
  <dataValidations count="10">
    <dataValidation type="list" allowBlank="1" sqref="Z6:Z25" xr:uid="{6F0ED344-DE9C-4404-964E-0A9D2DB3154F}">
      <formula1>"none,Just-perceptible,Comfortable,Cinematic,—"</formula1>
    </dataValidation>
    <dataValidation type="list" allowBlank="1" sqref="U6:U25" xr:uid="{A9B007D8-3961-445F-BA86-475227DC6706}">
      <formula1>"Imperceptible,Cinematic ease,Deliberate pan,Fast,Snap,Computed,—"</formula1>
    </dataValidation>
    <dataValidation type="list" allowBlank="1" sqref="N6:N25" xr:uid="{212CF25D-8B69-4E4A-931C-38FA6B17AF72}">
      <formula1>"WP,TIME,ASTRO"</formula1>
    </dataValidation>
    <dataValidation type="list" allowBlank="1" sqref="S6:S25" xr:uid="{7390DB9D-AF0B-49C8-BE69-78860A0EC43D}">
      <formula1>"Pan Follow,Lock,Move,Track,Track-yaw,END"</formula1>
    </dataValidation>
    <dataValidation type="list" allowBlank="1" sqref="T6:T30" xr:uid="{99AE6B39-6E1E-474F-8B34-9251348144D0}">
      <formula1>"Imperceptible,Cinematic ease,Deliberate pan,Fast,Snap,Computed"</formula1>
      <formula2>0</formula2>
    </dataValidation>
    <dataValidation type="list" allowBlank="1" sqref="S6:S30" xr:uid="{09A67676-41A1-4B7B-BBF4-6BB603F56D1D}">
      <formula1>"rise,mid,end"</formula1>
      <formula2>0</formula2>
    </dataValidation>
    <dataValidation type="list" allowBlank="1" sqref="Q6:Q30" xr:uid="{90BEBA43-BE1A-495A-9F5D-1ACE99559F9F}">
      <formula1>"pose,log-label,pose-offset,sun,moon,mw,sunrise,sunset,moonrise,moonset"</formula1>
      <formula2>0</formula2>
    </dataValidation>
    <dataValidation type="list" allowBlank="1" sqref="P6:P30" xr:uid="{747FB747-7048-467C-929F-C394A9DA7991}">
      <formula1>"Pan Follow,Approach,Lock"</formula1>
      <formula2>0</formula2>
    </dataValidation>
    <dataValidation type="list" allowBlank="1" sqref="N6:N30" xr:uid="{EBF5E5C1-56BA-40CD-BA5A-8344B9E8A476}">
      <formula1>"WP,TIME,ASTRO"</formula1>
      <formula2>0</formula2>
    </dataValidation>
    <dataValidation type="list" allowBlank="1" sqref="C6:C30" xr:uid="{AAE4F355-9056-4716-B7F8-A56DA32BD475}">
      <formula1>"DRIVE,STOP,TURN,WAYPOINT,HOLD"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4560"/>
  </sheetPr>
  <dimension ref="A1:F24"/>
  <sheetViews>
    <sheetView showGridLines="0" workbookViewId="0">
      <selection activeCell="H8" sqref="H8"/>
    </sheetView>
  </sheetViews>
  <sheetFormatPr defaultRowHeight="14.5" x14ac:dyDescent="0.35"/>
  <cols>
    <col min="1" max="1" width="2" customWidth="1"/>
    <col min="2" max="3" width="22" customWidth="1"/>
    <col min="4" max="4" width="4" customWidth="1"/>
    <col min="5" max="6" width="22" customWidth="1"/>
  </cols>
  <sheetData>
    <row r="1" spans="1:6" ht="36" customHeight="1" x14ac:dyDescent="0.35">
      <c r="A1" s="51" t="s">
        <v>53</v>
      </c>
      <c r="B1" s="45"/>
      <c r="C1" s="45"/>
      <c r="D1" s="45"/>
      <c r="E1" s="45"/>
      <c r="F1" s="45"/>
    </row>
    <row r="3" spans="1:6" ht="22" customHeight="1" x14ac:dyDescent="0.35">
      <c r="B3" s="61" t="s">
        <v>54</v>
      </c>
      <c r="C3" s="45"/>
      <c r="D3" s="45"/>
      <c r="E3" s="45"/>
    </row>
    <row r="4" spans="1:6" ht="33" x14ac:dyDescent="0.35">
      <c r="B4" s="1" t="s">
        <v>55</v>
      </c>
      <c r="C4" s="12">
        <v>0.74192129629629633</v>
      </c>
      <c r="E4" s="1" t="s">
        <v>56</v>
      </c>
      <c r="F4" s="4" t="s">
        <v>105</v>
      </c>
    </row>
    <row r="5" spans="1:6" ht="16.5" x14ac:dyDescent="0.35">
      <c r="B5" s="1" t="s">
        <v>39</v>
      </c>
      <c r="C5" s="4" t="s">
        <v>38</v>
      </c>
    </row>
    <row r="7" spans="1:6" x14ac:dyDescent="0.35">
      <c r="B7" s="47" t="s">
        <v>57</v>
      </c>
      <c r="C7" s="45"/>
      <c r="D7" s="45"/>
      <c r="E7" s="45"/>
    </row>
    <row r="8" spans="1:6" ht="16.5" x14ac:dyDescent="0.35">
      <c r="B8" s="1" t="s">
        <v>58</v>
      </c>
      <c r="C8" s="13" t="s">
        <v>632</v>
      </c>
      <c r="E8" s="1" t="s">
        <v>31</v>
      </c>
      <c r="F8" s="4">
        <v>100</v>
      </c>
    </row>
    <row r="9" spans="1:6" ht="16.5" x14ac:dyDescent="0.35">
      <c r="B9" s="1" t="s">
        <v>26</v>
      </c>
      <c r="C9" s="4" t="s">
        <v>27</v>
      </c>
      <c r="E9" s="1" t="s">
        <v>59</v>
      </c>
      <c r="F9" s="4" t="s">
        <v>94</v>
      </c>
    </row>
    <row r="10" spans="1:6" ht="16.5" x14ac:dyDescent="0.35">
      <c r="B10" s="1" t="s">
        <v>60</v>
      </c>
      <c r="C10" s="4">
        <v>64</v>
      </c>
      <c r="E10" s="1" t="s">
        <v>61</v>
      </c>
      <c r="F10" s="4">
        <v>0</v>
      </c>
    </row>
    <row r="12" spans="1:6" x14ac:dyDescent="0.35">
      <c r="B12" s="49" t="s">
        <v>62</v>
      </c>
      <c r="C12" s="45"/>
      <c r="D12" s="45"/>
      <c r="E12" s="45"/>
    </row>
    <row r="13" spans="1:6" ht="16.5" x14ac:dyDescent="0.35">
      <c r="B13" s="1" t="s">
        <v>63</v>
      </c>
      <c r="C13" s="4">
        <v>-16.100000000000001</v>
      </c>
      <c r="E13" s="1" t="s">
        <v>64</v>
      </c>
      <c r="F13" s="4">
        <v>-26.2</v>
      </c>
    </row>
    <row r="15" spans="1:6" x14ac:dyDescent="0.35">
      <c r="B15" s="60" t="s">
        <v>65</v>
      </c>
      <c r="C15" s="45"/>
      <c r="D15" s="45"/>
      <c r="E15" s="45"/>
    </row>
    <row r="16" spans="1:6" ht="16.5" x14ac:dyDescent="0.35">
      <c r="B16" s="1" t="s">
        <v>51</v>
      </c>
      <c r="C16" s="4">
        <v>1</v>
      </c>
      <c r="E16" s="1" t="s">
        <v>66</v>
      </c>
      <c r="F16" s="4">
        <v>0</v>
      </c>
    </row>
    <row r="17" spans="2:6" ht="16.5" x14ac:dyDescent="0.35">
      <c r="B17" s="1" t="s">
        <v>50</v>
      </c>
      <c r="C17" s="4">
        <v>23.4</v>
      </c>
    </row>
    <row r="19" spans="2:6" x14ac:dyDescent="0.35">
      <c r="B19" s="62" t="s">
        <v>67</v>
      </c>
      <c r="C19" s="45"/>
      <c r="D19" s="45"/>
      <c r="E19" s="45"/>
    </row>
    <row r="20" spans="2:6" x14ac:dyDescent="0.35">
      <c r="B20" s="52"/>
      <c r="C20" s="53"/>
      <c r="D20" s="53"/>
      <c r="E20" s="53"/>
      <c r="F20" s="54"/>
    </row>
    <row r="21" spans="2:6" x14ac:dyDescent="0.35">
      <c r="B21" s="55"/>
      <c r="C21" s="45"/>
      <c r="D21" s="45"/>
      <c r="E21" s="45"/>
      <c r="F21" s="56"/>
    </row>
    <row r="22" spans="2:6" x14ac:dyDescent="0.35">
      <c r="B22" s="55"/>
      <c r="C22" s="45"/>
      <c r="D22" s="45"/>
      <c r="E22" s="45"/>
      <c r="F22" s="56"/>
    </row>
    <row r="23" spans="2:6" x14ac:dyDescent="0.35">
      <c r="B23" s="55"/>
      <c r="C23" s="45"/>
      <c r="D23" s="45"/>
      <c r="E23" s="45"/>
      <c r="F23" s="56"/>
    </row>
    <row r="24" spans="2:6" x14ac:dyDescent="0.35">
      <c r="B24" s="57"/>
      <c r="C24" s="58"/>
      <c r="D24" s="58"/>
      <c r="E24" s="58"/>
      <c r="F24" s="59"/>
    </row>
  </sheetData>
  <mergeCells count="7">
    <mergeCell ref="B12:E12"/>
    <mergeCell ref="A1:F1"/>
    <mergeCell ref="B20:F24"/>
    <mergeCell ref="B15:E15"/>
    <mergeCell ref="B7:E7"/>
    <mergeCell ref="B3:E3"/>
    <mergeCell ref="B19:E19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F3460"/>
  </sheetPr>
  <dimension ref="A1:G1"/>
  <sheetViews>
    <sheetView showGridLines="0"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1" max="1" width="14" style="5" customWidth="1"/>
    <col min="2" max="2" width="10" customWidth="1"/>
    <col min="3" max="3" width="12" customWidth="1"/>
    <col min="4" max="4" width="28" customWidth="1"/>
    <col min="5" max="6" width="12" customWidth="1"/>
    <col min="7" max="7" width="14" customWidth="1"/>
  </cols>
  <sheetData>
    <row r="1" spans="1:7" ht="20.149999999999999" customHeight="1" x14ac:dyDescent="0.35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  <c r="G1" s="6" t="s">
        <v>74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5E20"/>
  </sheetPr>
  <dimension ref="A1:J15"/>
  <sheetViews>
    <sheetView showGridLines="0" workbookViewId="0">
      <pane ySplit="1" topLeftCell="A2" activePane="bottomLeft" state="frozen"/>
      <selection pane="bottomLeft" activeCell="E24" sqref="E24"/>
    </sheetView>
  </sheetViews>
  <sheetFormatPr defaultRowHeight="14.5" x14ac:dyDescent="0.35"/>
  <cols>
    <col min="1" max="1" width="10.1796875" style="20" bestFit="1" customWidth="1"/>
    <col min="2" max="2" width="4.81640625" bestFit="1" customWidth="1"/>
    <col min="3" max="3" width="5.54296875" bestFit="1" customWidth="1"/>
    <col min="4" max="4" width="19.453125" bestFit="1" customWidth="1"/>
    <col min="5" max="5" width="9.1796875" bestFit="1" customWidth="1"/>
    <col min="6" max="6" width="9.81640625" bestFit="1" customWidth="1"/>
    <col min="7" max="9" width="18.54296875" customWidth="1"/>
    <col min="10" max="10" width="60.54296875" customWidth="1"/>
    <col min="11" max="11" width="14" customWidth="1"/>
    <col min="17" max="20" width="8.7265625" customWidth="1"/>
  </cols>
  <sheetData>
    <row r="1" spans="1:10" ht="24" customHeight="1" x14ac:dyDescent="0.35">
      <c r="A1" s="25" t="s">
        <v>75</v>
      </c>
      <c r="B1" s="24" t="s">
        <v>76</v>
      </c>
      <c r="C1" s="24" t="s">
        <v>70</v>
      </c>
      <c r="D1" s="24" t="s">
        <v>77</v>
      </c>
      <c r="E1" s="24" t="s">
        <v>306</v>
      </c>
      <c r="F1" s="24" t="s">
        <v>307</v>
      </c>
      <c r="G1" s="38" t="s">
        <v>513</v>
      </c>
      <c r="H1" s="37" t="s">
        <v>514</v>
      </c>
      <c r="I1" s="40" t="s">
        <v>515</v>
      </c>
      <c r="J1" s="39"/>
    </row>
    <row r="2" spans="1:10" x14ac:dyDescent="0.35">
      <c r="A2" s="20" t="s">
        <v>499</v>
      </c>
      <c r="B2" t="s">
        <v>308</v>
      </c>
      <c r="C2">
        <v>0</v>
      </c>
      <c r="D2" t="s">
        <v>309</v>
      </c>
      <c r="E2">
        <v>0</v>
      </c>
      <c r="F2">
        <v>0</v>
      </c>
    </row>
    <row r="3" spans="1:10" x14ac:dyDescent="0.35">
      <c r="A3" s="20" t="s">
        <v>499</v>
      </c>
      <c r="B3" t="s">
        <v>310</v>
      </c>
      <c r="C3">
        <v>0</v>
      </c>
      <c r="D3" t="s">
        <v>311</v>
      </c>
      <c r="E3">
        <v>0</v>
      </c>
      <c r="F3">
        <v>0</v>
      </c>
    </row>
    <row r="4" spans="1:10" x14ac:dyDescent="0.35">
      <c r="A4" s="20" t="s">
        <v>500</v>
      </c>
      <c r="B4" t="s">
        <v>308</v>
      </c>
      <c r="C4">
        <v>100</v>
      </c>
      <c r="D4" t="s">
        <v>312</v>
      </c>
      <c r="E4">
        <v>0</v>
      </c>
      <c r="F4">
        <v>0</v>
      </c>
    </row>
    <row r="5" spans="1:10" x14ac:dyDescent="0.35">
      <c r="A5" s="20" t="s">
        <v>500</v>
      </c>
      <c r="B5" t="s">
        <v>310</v>
      </c>
      <c r="C5">
        <v>-5</v>
      </c>
      <c r="D5" t="s">
        <v>485</v>
      </c>
      <c r="E5">
        <v>0</v>
      </c>
      <c r="F5">
        <v>0</v>
      </c>
    </row>
    <row r="6" spans="1:10" x14ac:dyDescent="0.35">
      <c r="A6" s="20" t="s">
        <v>501</v>
      </c>
      <c r="B6" t="s">
        <v>310</v>
      </c>
      <c r="C6">
        <v>0</v>
      </c>
      <c r="D6" t="s">
        <v>486</v>
      </c>
      <c r="E6">
        <v>1872659</v>
      </c>
      <c r="F6">
        <v>1872659</v>
      </c>
    </row>
    <row r="7" spans="1:10" x14ac:dyDescent="0.35">
      <c r="A7" s="20" t="s">
        <v>502</v>
      </c>
      <c r="B7" t="s">
        <v>310</v>
      </c>
      <c r="C7">
        <v>-5</v>
      </c>
      <c r="D7" t="s">
        <v>485</v>
      </c>
      <c r="E7">
        <v>4681648</v>
      </c>
      <c r="F7">
        <v>4681648</v>
      </c>
    </row>
    <row r="8" spans="1:10" x14ac:dyDescent="0.35">
      <c r="A8" s="20" t="s">
        <v>503</v>
      </c>
      <c r="B8" t="s">
        <v>310</v>
      </c>
      <c r="C8">
        <v>0.28677671664752263</v>
      </c>
      <c r="D8" t="s">
        <v>543</v>
      </c>
      <c r="E8">
        <v>7490637</v>
      </c>
      <c r="F8">
        <v>7490637</v>
      </c>
    </row>
    <row r="9" spans="1:10" x14ac:dyDescent="0.35">
      <c r="A9" s="20" t="s">
        <v>504</v>
      </c>
      <c r="B9" t="s">
        <v>310</v>
      </c>
      <c r="C9">
        <v>0</v>
      </c>
      <c r="D9" t="s">
        <v>544</v>
      </c>
      <c r="E9">
        <v>10767790</v>
      </c>
      <c r="F9">
        <v>10767790</v>
      </c>
    </row>
    <row r="10" spans="1:10" x14ac:dyDescent="0.35">
      <c r="A10" s="20" t="s">
        <v>505</v>
      </c>
      <c r="B10" t="s">
        <v>310</v>
      </c>
      <c r="C10">
        <v>8</v>
      </c>
      <c r="D10" t="s">
        <v>487</v>
      </c>
      <c r="E10">
        <v>11704120</v>
      </c>
      <c r="F10">
        <v>11704120</v>
      </c>
    </row>
    <row r="11" spans="1:10" x14ac:dyDescent="0.35">
      <c r="A11" s="20" t="s">
        <v>506</v>
      </c>
      <c r="B11" t="s">
        <v>310</v>
      </c>
      <c r="C11">
        <v>0</v>
      </c>
      <c r="D11" t="s">
        <v>486</v>
      </c>
      <c r="E11">
        <v>13576779</v>
      </c>
      <c r="F11">
        <v>13576779</v>
      </c>
    </row>
    <row r="12" spans="1:10" x14ac:dyDescent="0.35">
      <c r="A12" s="20" t="s">
        <v>507</v>
      </c>
      <c r="B12" t="s">
        <v>310</v>
      </c>
      <c r="C12">
        <v>2</v>
      </c>
      <c r="D12" t="s">
        <v>488</v>
      </c>
      <c r="E12">
        <v>14513109</v>
      </c>
      <c r="F12">
        <v>14513109</v>
      </c>
    </row>
    <row r="13" spans="1:10" x14ac:dyDescent="0.35">
      <c r="A13" s="20" t="s">
        <v>508</v>
      </c>
      <c r="B13" t="s">
        <v>310</v>
      </c>
      <c r="C13">
        <v>-3</v>
      </c>
      <c r="D13" t="s">
        <v>489</v>
      </c>
      <c r="E13">
        <v>15215356</v>
      </c>
      <c r="F13">
        <v>15215356</v>
      </c>
    </row>
    <row r="14" spans="1:10" x14ac:dyDescent="0.35">
      <c r="A14" s="20" t="s">
        <v>509</v>
      </c>
      <c r="B14" t="s">
        <v>310</v>
      </c>
      <c r="C14">
        <v>0</v>
      </c>
      <c r="D14" t="s">
        <v>486</v>
      </c>
      <c r="E14">
        <v>15917603</v>
      </c>
      <c r="F14">
        <v>15917603</v>
      </c>
    </row>
    <row r="15" spans="1:10" x14ac:dyDescent="0.35">
      <c r="A15" s="20" t="s">
        <v>510</v>
      </c>
      <c r="B15" t="s">
        <v>313</v>
      </c>
      <c r="C15">
        <v>0</v>
      </c>
      <c r="D15" t="s">
        <v>314</v>
      </c>
      <c r="E15">
        <v>16853933</v>
      </c>
      <c r="F15">
        <v>16853933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5100"/>
  </sheetPr>
  <dimension ref="A1:D1"/>
  <sheetViews>
    <sheetView showGridLines="0" workbookViewId="0">
      <pane ySplit="1" topLeftCell="A2" activePane="bottomLeft" state="frozen"/>
      <selection pane="bottomLeft"/>
    </sheetView>
  </sheetViews>
  <sheetFormatPr defaultRowHeight="14.5" x14ac:dyDescent="0.35"/>
  <cols>
    <col min="1" max="3" width="12" customWidth="1"/>
    <col min="4" max="4" width="30" customWidth="1"/>
  </cols>
  <sheetData>
    <row r="1" spans="1:4" x14ac:dyDescent="0.35">
      <c r="A1" s="6" t="s">
        <v>75</v>
      </c>
      <c r="B1" s="6" t="s">
        <v>63</v>
      </c>
      <c r="C1" s="6" t="s">
        <v>64</v>
      </c>
      <c r="D1" s="6" t="s">
        <v>71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7474F"/>
  </sheetPr>
  <dimension ref="A1:C520"/>
  <sheetViews>
    <sheetView showGridLines="0" tabSelected="1" workbookViewId="0">
      <pane ySplit="1" topLeftCell="A473" activePane="bottomLeft" state="frozen"/>
      <selection pane="bottomLeft" activeCell="E520" sqref="A512:E520"/>
    </sheetView>
  </sheetViews>
  <sheetFormatPr defaultRowHeight="14.5" x14ac:dyDescent="0.35"/>
  <cols>
    <col min="1" max="1" width="21.453125" style="20" customWidth="1"/>
    <col min="2" max="2" width="12" customWidth="1"/>
    <col min="3" max="3" width="60" customWidth="1"/>
  </cols>
  <sheetData>
    <row r="1" spans="1:3" x14ac:dyDescent="0.35">
      <c r="A1" s="19" t="s">
        <v>75</v>
      </c>
      <c r="B1" s="7" t="s">
        <v>78</v>
      </c>
      <c r="C1" s="7" t="s">
        <v>79</v>
      </c>
    </row>
    <row r="2" spans="1:3" x14ac:dyDescent="0.35">
      <c r="A2" s="20" t="s">
        <v>175</v>
      </c>
      <c r="B2" t="s">
        <v>83</v>
      </c>
    </row>
    <row r="3" spans="1:3" x14ac:dyDescent="0.35">
      <c r="A3" s="20" t="s">
        <v>176</v>
      </c>
      <c r="B3" t="s">
        <v>106</v>
      </c>
      <c r="C3" t="s">
        <v>111</v>
      </c>
    </row>
    <row r="4" spans="1:3" x14ac:dyDescent="0.35">
      <c r="A4" s="20" t="s">
        <v>176</v>
      </c>
      <c r="B4" t="s">
        <v>106</v>
      </c>
      <c r="C4" t="s">
        <v>112</v>
      </c>
    </row>
    <row r="5" spans="1:3" x14ac:dyDescent="0.35">
      <c r="A5" s="20" t="s">
        <v>176</v>
      </c>
      <c r="B5" t="s">
        <v>90</v>
      </c>
      <c r="C5" t="s">
        <v>113</v>
      </c>
    </row>
    <row r="6" spans="1:3" x14ac:dyDescent="0.35">
      <c r="A6" s="20" t="s">
        <v>177</v>
      </c>
      <c r="B6" t="s">
        <v>91</v>
      </c>
    </row>
    <row r="7" spans="1:3" x14ac:dyDescent="0.35">
      <c r="A7" s="20" t="s">
        <v>178</v>
      </c>
      <c r="B7" t="s">
        <v>91</v>
      </c>
      <c r="C7" t="s">
        <v>114</v>
      </c>
    </row>
    <row r="8" spans="1:3" x14ac:dyDescent="0.35">
      <c r="A8" s="20" t="s">
        <v>178</v>
      </c>
      <c r="B8" t="s">
        <v>91</v>
      </c>
      <c r="C8" t="s">
        <v>115</v>
      </c>
    </row>
    <row r="9" spans="1:3" x14ac:dyDescent="0.35">
      <c r="A9" s="20" t="s">
        <v>178</v>
      </c>
      <c r="B9" t="s">
        <v>91</v>
      </c>
      <c r="C9" t="s">
        <v>92</v>
      </c>
    </row>
    <row r="10" spans="1:3" x14ac:dyDescent="0.35">
      <c r="A10" s="20" t="s">
        <v>178</v>
      </c>
      <c r="B10" t="s">
        <v>91</v>
      </c>
      <c r="C10" t="s">
        <v>93</v>
      </c>
    </row>
    <row r="11" spans="1:3" x14ac:dyDescent="0.35">
      <c r="A11" s="20" t="s">
        <v>179</v>
      </c>
      <c r="B11" t="s">
        <v>91</v>
      </c>
      <c r="C11" t="s">
        <v>116</v>
      </c>
    </row>
    <row r="12" spans="1:3" x14ac:dyDescent="0.35">
      <c r="A12" s="20" t="s">
        <v>179</v>
      </c>
      <c r="B12" t="s">
        <v>106</v>
      </c>
      <c r="C12" t="s">
        <v>107</v>
      </c>
    </row>
    <row r="13" spans="1:3" x14ac:dyDescent="0.35">
      <c r="A13" s="20" t="s">
        <v>179</v>
      </c>
      <c r="B13" t="s">
        <v>83</v>
      </c>
      <c r="C13" t="s">
        <v>117</v>
      </c>
    </row>
    <row r="14" spans="1:3" x14ac:dyDescent="0.35">
      <c r="A14" s="20" t="s">
        <v>180</v>
      </c>
      <c r="B14" t="s">
        <v>119</v>
      </c>
      <c r="C14" t="s">
        <v>120</v>
      </c>
    </row>
    <row r="15" spans="1:3" x14ac:dyDescent="0.35">
      <c r="A15" s="20" t="s">
        <v>180</v>
      </c>
      <c r="B15" t="s">
        <v>119</v>
      </c>
      <c r="C15" t="s">
        <v>121</v>
      </c>
    </row>
    <row r="16" spans="1:3" x14ac:dyDescent="0.35">
      <c r="A16" s="20" t="s">
        <v>180</v>
      </c>
      <c r="B16" t="s">
        <v>83</v>
      </c>
    </row>
    <row r="17" spans="1:3" x14ac:dyDescent="0.35">
      <c r="A17" s="20" t="s">
        <v>180</v>
      </c>
      <c r="B17" t="s">
        <v>83</v>
      </c>
    </row>
    <row r="18" spans="1:3" x14ac:dyDescent="0.35">
      <c r="A18" s="20" t="s">
        <v>181</v>
      </c>
      <c r="B18" t="s">
        <v>91</v>
      </c>
      <c r="C18" t="s">
        <v>122</v>
      </c>
    </row>
    <row r="19" spans="1:3" x14ac:dyDescent="0.35">
      <c r="A19" s="20" t="s">
        <v>182</v>
      </c>
      <c r="B19" t="s">
        <v>119</v>
      </c>
      <c r="C19" t="s">
        <v>125</v>
      </c>
    </row>
    <row r="20" spans="1:3" x14ac:dyDescent="0.35">
      <c r="A20" s="20" t="s">
        <v>182</v>
      </c>
      <c r="B20" t="s">
        <v>91</v>
      </c>
      <c r="C20" t="s">
        <v>124</v>
      </c>
    </row>
    <row r="21" spans="1:3" x14ac:dyDescent="0.35">
      <c r="A21" s="20" t="s">
        <v>182</v>
      </c>
      <c r="B21" t="s">
        <v>83</v>
      </c>
      <c r="C21" t="s">
        <v>126</v>
      </c>
    </row>
    <row r="22" spans="1:3" x14ac:dyDescent="0.35">
      <c r="A22" s="20" t="s">
        <v>182</v>
      </c>
      <c r="B22" t="s">
        <v>123</v>
      </c>
      <c r="C22" t="s">
        <v>183</v>
      </c>
    </row>
    <row r="23" spans="1:3" x14ac:dyDescent="0.35">
      <c r="A23" s="20" t="s">
        <v>184</v>
      </c>
      <c r="B23" t="s">
        <v>123</v>
      </c>
      <c r="C23" t="s">
        <v>185</v>
      </c>
    </row>
    <row r="24" spans="1:3" x14ac:dyDescent="0.35">
      <c r="A24" s="20" t="s">
        <v>186</v>
      </c>
      <c r="B24" t="s">
        <v>119</v>
      </c>
      <c r="C24" t="s">
        <v>187</v>
      </c>
    </row>
    <row r="25" spans="1:3" x14ac:dyDescent="0.35">
      <c r="A25" s="20" t="s">
        <v>186</v>
      </c>
      <c r="B25" t="s">
        <v>91</v>
      </c>
      <c r="C25" t="s">
        <v>127</v>
      </c>
    </row>
    <row r="26" spans="1:3" x14ac:dyDescent="0.35">
      <c r="A26" s="20" t="s">
        <v>186</v>
      </c>
      <c r="B26" t="s">
        <v>83</v>
      </c>
      <c r="C26" t="s">
        <v>188</v>
      </c>
    </row>
    <row r="27" spans="1:3" x14ac:dyDescent="0.35">
      <c r="A27" s="20" t="s">
        <v>189</v>
      </c>
      <c r="B27" t="s">
        <v>119</v>
      </c>
      <c r="C27" t="s">
        <v>128</v>
      </c>
    </row>
    <row r="28" spans="1:3" x14ac:dyDescent="0.35">
      <c r="A28" s="20" t="s">
        <v>189</v>
      </c>
      <c r="B28" t="s">
        <v>106</v>
      </c>
      <c r="C28" t="s">
        <v>107</v>
      </c>
    </row>
    <row r="29" spans="1:3" x14ac:dyDescent="0.35">
      <c r="A29" s="20" t="s">
        <v>189</v>
      </c>
      <c r="B29" t="s">
        <v>91</v>
      </c>
      <c r="C29" t="s">
        <v>130</v>
      </c>
    </row>
    <row r="30" spans="1:3" x14ac:dyDescent="0.35">
      <c r="A30" s="20" t="s">
        <v>189</v>
      </c>
      <c r="B30" t="s">
        <v>91</v>
      </c>
      <c r="C30" t="s">
        <v>158</v>
      </c>
    </row>
    <row r="31" spans="1:3" x14ac:dyDescent="0.35">
      <c r="A31" s="20" t="s">
        <v>189</v>
      </c>
      <c r="B31" t="s">
        <v>83</v>
      </c>
      <c r="C31" t="s">
        <v>150</v>
      </c>
    </row>
    <row r="32" spans="1:3" x14ac:dyDescent="0.35">
      <c r="A32" s="20" t="s">
        <v>189</v>
      </c>
      <c r="B32" t="s">
        <v>123</v>
      </c>
      <c r="C32" t="s">
        <v>190</v>
      </c>
    </row>
    <row r="33" spans="1:3" x14ac:dyDescent="0.35">
      <c r="A33" s="20" t="s">
        <v>191</v>
      </c>
      <c r="B33" t="s">
        <v>119</v>
      </c>
      <c r="C33" t="s">
        <v>151</v>
      </c>
    </row>
    <row r="34" spans="1:3" x14ac:dyDescent="0.35">
      <c r="A34" s="20" t="s">
        <v>191</v>
      </c>
      <c r="B34" t="s">
        <v>91</v>
      </c>
      <c r="C34" t="s">
        <v>131</v>
      </c>
    </row>
    <row r="35" spans="1:3" x14ac:dyDescent="0.35">
      <c r="A35" s="20" t="s">
        <v>191</v>
      </c>
      <c r="B35" t="s">
        <v>91</v>
      </c>
      <c r="C35" t="s">
        <v>159</v>
      </c>
    </row>
    <row r="36" spans="1:3" x14ac:dyDescent="0.35">
      <c r="A36" s="20" t="s">
        <v>191</v>
      </c>
      <c r="B36" t="s">
        <v>83</v>
      </c>
      <c r="C36" t="s">
        <v>152</v>
      </c>
    </row>
    <row r="37" spans="1:3" x14ac:dyDescent="0.35">
      <c r="A37" s="20" t="s">
        <v>191</v>
      </c>
      <c r="B37" t="s">
        <v>123</v>
      </c>
      <c r="C37" t="s">
        <v>192</v>
      </c>
    </row>
    <row r="38" spans="1:3" x14ac:dyDescent="0.35">
      <c r="A38" s="20" t="s">
        <v>193</v>
      </c>
      <c r="B38" t="s">
        <v>119</v>
      </c>
      <c r="C38" t="s">
        <v>153</v>
      </c>
    </row>
    <row r="39" spans="1:3" x14ac:dyDescent="0.35">
      <c r="A39" s="20" t="s">
        <v>193</v>
      </c>
      <c r="B39" t="s">
        <v>91</v>
      </c>
      <c r="C39" t="s">
        <v>132</v>
      </c>
    </row>
    <row r="40" spans="1:3" x14ac:dyDescent="0.35">
      <c r="A40" s="20" t="s">
        <v>193</v>
      </c>
      <c r="B40" t="s">
        <v>91</v>
      </c>
      <c r="C40" t="s">
        <v>160</v>
      </c>
    </row>
    <row r="41" spans="1:3" x14ac:dyDescent="0.35">
      <c r="A41" s="20" t="s">
        <v>193</v>
      </c>
      <c r="B41" t="s">
        <v>83</v>
      </c>
      <c r="C41" t="s">
        <v>154</v>
      </c>
    </row>
    <row r="42" spans="1:3" x14ac:dyDescent="0.35">
      <c r="A42" s="20" t="s">
        <v>193</v>
      </c>
      <c r="B42" t="s">
        <v>123</v>
      </c>
      <c r="C42" t="s">
        <v>194</v>
      </c>
    </row>
    <row r="43" spans="1:3" x14ac:dyDescent="0.35">
      <c r="A43" s="20" t="s">
        <v>195</v>
      </c>
      <c r="B43" t="s">
        <v>123</v>
      </c>
      <c r="C43" t="s">
        <v>196</v>
      </c>
    </row>
    <row r="44" spans="1:3" x14ac:dyDescent="0.35">
      <c r="A44" s="20" t="s">
        <v>197</v>
      </c>
      <c r="B44" t="s">
        <v>119</v>
      </c>
      <c r="C44" t="s">
        <v>198</v>
      </c>
    </row>
    <row r="45" spans="1:3" x14ac:dyDescent="0.35">
      <c r="A45" s="20" t="s">
        <v>197</v>
      </c>
      <c r="B45" t="s">
        <v>91</v>
      </c>
      <c r="C45" t="s">
        <v>133</v>
      </c>
    </row>
    <row r="46" spans="1:3" x14ac:dyDescent="0.35">
      <c r="A46" s="20" t="s">
        <v>197</v>
      </c>
      <c r="B46" t="s">
        <v>91</v>
      </c>
      <c r="C46" t="s">
        <v>161</v>
      </c>
    </row>
    <row r="47" spans="1:3" x14ac:dyDescent="0.35">
      <c r="A47" s="20" t="s">
        <v>197</v>
      </c>
      <c r="B47" t="s">
        <v>83</v>
      </c>
      <c r="C47" t="s">
        <v>199</v>
      </c>
    </row>
    <row r="48" spans="1:3" x14ac:dyDescent="0.35">
      <c r="A48" s="20" t="s">
        <v>197</v>
      </c>
      <c r="B48" t="s">
        <v>123</v>
      </c>
      <c r="C48" t="s">
        <v>200</v>
      </c>
    </row>
    <row r="49" spans="1:3" x14ac:dyDescent="0.35">
      <c r="A49" s="20" t="s">
        <v>201</v>
      </c>
      <c r="B49" t="s">
        <v>123</v>
      </c>
      <c r="C49" t="s">
        <v>202</v>
      </c>
    </row>
    <row r="50" spans="1:3" x14ac:dyDescent="0.35">
      <c r="A50" s="20" t="s">
        <v>203</v>
      </c>
      <c r="B50" t="s">
        <v>119</v>
      </c>
      <c r="C50" t="s">
        <v>155</v>
      </c>
    </row>
    <row r="51" spans="1:3" x14ac:dyDescent="0.35">
      <c r="A51" s="20" t="s">
        <v>203</v>
      </c>
      <c r="B51" t="s">
        <v>91</v>
      </c>
      <c r="C51" t="s">
        <v>134</v>
      </c>
    </row>
    <row r="52" spans="1:3" x14ac:dyDescent="0.35">
      <c r="A52" s="20" t="s">
        <v>203</v>
      </c>
      <c r="B52" t="s">
        <v>91</v>
      </c>
      <c r="C52" t="s">
        <v>204</v>
      </c>
    </row>
    <row r="53" spans="1:3" x14ac:dyDescent="0.35">
      <c r="A53" s="20" t="s">
        <v>203</v>
      </c>
      <c r="B53" t="s">
        <v>83</v>
      </c>
      <c r="C53" t="s">
        <v>156</v>
      </c>
    </row>
    <row r="54" spans="1:3" x14ac:dyDescent="0.35">
      <c r="A54" s="20" t="s">
        <v>203</v>
      </c>
      <c r="B54" t="s">
        <v>123</v>
      </c>
      <c r="C54" t="s">
        <v>205</v>
      </c>
    </row>
    <row r="55" spans="1:3" x14ac:dyDescent="0.35">
      <c r="A55" s="20" t="s">
        <v>206</v>
      </c>
      <c r="B55" t="s">
        <v>123</v>
      </c>
      <c r="C55" t="s">
        <v>207</v>
      </c>
    </row>
    <row r="56" spans="1:3" x14ac:dyDescent="0.35">
      <c r="A56" s="20" t="s">
        <v>208</v>
      </c>
      <c r="B56" t="s">
        <v>119</v>
      </c>
      <c r="C56" t="s">
        <v>209</v>
      </c>
    </row>
    <row r="57" spans="1:3" x14ac:dyDescent="0.35">
      <c r="A57" s="20" t="s">
        <v>208</v>
      </c>
      <c r="B57" t="s">
        <v>91</v>
      </c>
      <c r="C57" t="s">
        <v>135</v>
      </c>
    </row>
    <row r="58" spans="1:3" x14ac:dyDescent="0.35">
      <c r="A58" s="20" t="s">
        <v>208</v>
      </c>
      <c r="B58" t="s">
        <v>91</v>
      </c>
      <c r="C58" t="s">
        <v>170</v>
      </c>
    </row>
    <row r="59" spans="1:3" x14ac:dyDescent="0.35">
      <c r="A59" s="20" t="s">
        <v>208</v>
      </c>
      <c r="B59" t="s">
        <v>83</v>
      </c>
      <c r="C59" t="s">
        <v>210</v>
      </c>
    </row>
    <row r="60" spans="1:3" x14ac:dyDescent="0.35">
      <c r="A60" s="20" t="s">
        <v>208</v>
      </c>
      <c r="B60" t="s">
        <v>123</v>
      </c>
      <c r="C60" t="s">
        <v>211</v>
      </c>
    </row>
    <row r="61" spans="1:3" x14ac:dyDescent="0.35">
      <c r="A61" s="20" t="s">
        <v>212</v>
      </c>
      <c r="B61" t="s">
        <v>123</v>
      </c>
      <c r="C61" t="s">
        <v>213</v>
      </c>
    </row>
    <row r="62" spans="1:3" x14ac:dyDescent="0.35">
      <c r="A62" s="20" t="s">
        <v>214</v>
      </c>
      <c r="B62" t="s">
        <v>119</v>
      </c>
      <c r="C62" t="s">
        <v>215</v>
      </c>
    </row>
    <row r="63" spans="1:3" x14ac:dyDescent="0.35">
      <c r="A63" s="20" t="s">
        <v>214</v>
      </c>
      <c r="B63" t="s">
        <v>91</v>
      </c>
      <c r="C63" t="s">
        <v>136</v>
      </c>
    </row>
    <row r="64" spans="1:3" x14ac:dyDescent="0.35">
      <c r="A64" s="20" t="s">
        <v>214</v>
      </c>
      <c r="B64" t="s">
        <v>91</v>
      </c>
      <c r="C64" t="s">
        <v>149</v>
      </c>
    </row>
    <row r="65" spans="1:3" x14ac:dyDescent="0.35">
      <c r="A65" s="20" t="s">
        <v>214</v>
      </c>
      <c r="B65" t="s">
        <v>83</v>
      </c>
      <c r="C65" t="s">
        <v>216</v>
      </c>
    </row>
    <row r="66" spans="1:3" x14ac:dyDescent="0.35">
      <c r="A66" s="20" t="s">
        <v>214</v>
      </c>
      <c r="B66" t="s">
        <v>123</v>
      </c>
      <c r="C66" t="s">
        <v>217</v>
      </c>
    </row>
    <row r="67" spans="1:3" x14ac:dyDescent="0.35">
      <c r="A67" s="20" t="s">
        <v>218</v>
      </c>
      <c r="B67" t="s">
        <v>119</v>
      </c>
      <c r="C67" t="s">
        <v>219</v>
      </c>
    </row>
    <row r="68" spans="1:3" x14ac:dyDescent="0.35">
      <c r="A68" s="20" t="s">
        <v>218</v>
      </c>
      <c r="B68" t="s">
        <v>91</v>
      </c>
      <c r="C68" t="s">
        <v>137</v>
      </c>
    </row>
    <row r="69" spans="1:3" x14ac:dyDescent="0.35">
      <c r="A69" s="20" t="s">
        <v>218</v>
      </c>
      <c r="B69" t="s">
        <v>91</v>
      </c>
      <c r="C69" t="s">
        <v>162</v>
      </c>
    </row>
    <row r="70" spans="1:3" x14ac:dyDescent="0.35">
      <c r="A70" s="20" t="s">
        <v>218</v>
      </c>
      <c r="B70" t="s">
        <v>83</v>
      </c>
      <c r="C70" t="s">
        <v>220</v>
      </c>
    </row>
    <row r="71" spans="1:3" x14ac:dyDescent="0.35">
      <c r="A71" s="20" t="s">
        <v>218</v>
      </c>
      <c r="B71" t="s">
        <v>123</v>
      </c>
      <c r="C71" t="s">
        <v>221</v>
      </c>
    </row>
    <row r="72" spans="1:3" x14ac:dyDescent="0.35">
      <c r="A72" s="20" t="s">
        <v>222</v>
      </c>
      <c r="B72" t="s">
        <v>119</v>
      </c>
      <c r="C72" t="s">
        <v>223</v>
      </c>
    </row>
    <row r="73" spans="1:3" x14ac:dyDescent="0.35">
      <c r="A73" s="20" t="s">
        <v>222</v>
      </c>
      <c r="B73" t="s">
        <v>91</v>
      </c>
      <c r="C73" t="s">
        <v>138</v>
      </c>
    </row>
    <row r="74" spans="1:3" x14ac:dyDescent="0.35">
      <c r="A74" s="20" t="s">
        <v>222</v>
      </c>
      <c r="B74" t="s">
        <v>91</v>
      </c>
      <c r="C74" t="s">
        <v>163</v>
      </c>
    </row>
    <row r="75" spans="1:3" x14ac:dyDescent="0.35">
      <c r="A75" s="20" t="s">
        <v>222</v>
      </c>
      <c r="B75" t="s">
        <v>83</v>
      </c>
      <c r="C75" t="s">
        <v>171</v>
      </c>
    </row>
    <row r="76" spans="1:3" x14ac:dyDescent="0.35">
      <c r="A76" s="20" t="s">
        <v>222</v>
      </c>
      <c r="B76" t="s">
        <v>123</v>
      </c>
      <c r="C76" t="s">
        <v>224</v>
      </c>
    </row>
    <row r="77" spans="1:3" x14ac:dyDescent="0.35">
      <c r="A77" s="20" t="s">
        <v>225</v>
      </c>
      <c r="B77" t="s">
        <v>123</v>
      </c>
      <c r="C77" t="s">
        <v>226</v>
      </c>
    </row>
    <row r="78" spans="1:3" x14ac:dyDescent="0.35">
      <c r="A78" s="20" t="s">
        <v>227</v>
      </c>
      <c r="B78" t="s">
        <v>119</v>
      </c>
      <c r="C78" t="s">
        <v>228</v>
      </c>
    </row>
    <row r="79" spans="1:3" x14ac:dyDescent="0.35">
      <c r="A79" s="20" t="s">
        <v>227</v>
      </c>
      <c r="B79" t="s">
        <v>91</v>
      </c>
      <c r="C79" t="s">
        <v>139</v>
      </c>
    </row>
    <row r="80" spans="1:3" x14ac:dyDescent="0.35">
      <c r="A80" s="20" t="s">
        <v>227</v>
      </c>
      <c r="B80" t="s">
        <v>91</v>
      </c>
      <c r="C80" t="s">
        <v>164</v>
      </c>
    </row>
    <row r="81" spans="1:3" x14ac:dyDescent="0.35">
      <c r="A81" s="20" t="s">
        <v>227</v>
      </c>
      <c r="B81" t="s">
        <v>83</v>
      </c>
      <c r="C81" t="s">
        <v>229</v>
      </c>
    </row>
    <row r="82" spans="1:3" x14ac:dyDescent="0.35">
      <c r="A82" s="20" t="s">
        <v>227</v>
      </c>
      <c r="B82" t="s">
        <v>123</v>
      </c>
      <c r="C82" t="s">
        <v>230</v>
      </c>
    </row>
    <row r="83" spans="1:3" x14ac:dyDescent="0.35">
      <c r="A83" s="20" t="s">
        <v>231</v>
      </c>
      <c r="B83" t="s">
        <v>123</v>
      </c>
      <c r="C83" t="s">
        <v>232</v>
      </c>
    </row>
    <row r="84" spans="1:3" x14ac:dyDescent="0.35">
      <c r="A84" s="20" t="s">
        <v>233</v>
      </c>
      <c r="B84" t="s">
        <v>119</v>
      </c>
      <c r="C84" t="s">
        <v>234</v>
      </c>
    </row>
    <row r="85" spans="1:3" x14ac:dyDescent="0.35">
      <c r="A85" s="20" t="s">
        <v>233</v>
      </c>
      <c r="B85" t="s">
        <v>91</v>
      </c>
      <c r="C85" t="s">
        <v>140</v>
      </c>
    </row>
    <row r="86" spans="1:3" x14ac:dyDescent="0.35">
      <c r="A86" s="20" t="s">
        <v>233</v>
      </c>
      <c r="B86" t="s">
        <v>91</v>
      </c>
      <c r="C86" t="s">
        <v>165</v>
      </c>
    </row>
    <row r="87" spans="1:3" x14ac:dyDescent="0.35">
      <c r="A87" s="20" t="s">
        <v>233</v>
      </c>
      <c r="B87" t="s">
        <v>83</v>
      </c>
      <c r="C87" t="s">
        <v>235</v>
      </c>
    </row>
    <row r="88" spans="1:3" x14ac:dyDescent="0.35">
      <c r="A88" s="20" t="s">
        <v>233</v>
      </c>
      <c r="B88" t="s">
        <v>123</v>
      </c>
      <c r="C88" t="s">
        <v>236</v>
      </c>
    </row>
    <row r="89" spans="1:3" x14ac:dyDescent="0.35">
      <c r="A89" s="20" t="s">
        <v>237</v>
      </c>
      <c r="B89" t="s">
        <v>119</v>
      </c>
      <c r="C89" t="s">
        <v>238</v>
      </c>
    </row>
    <row r="90" spans="1:3" x14ac:dyDescent="0.35">
      <c r="A90" s="20" t="s">
        <v>237</v>
      </c>
      <c r="B90" t="s">
        <v>91</v>
      </c>
      <c r="C90" t="s">
        <v>141</v>
      </c>
    </row>
    <row r="91" spans="1:3" x14ac:dyDescent="0.35">
      <c r="A91" s="20" t="s">
        <v>237</v>
      </c>
      <c r="B91" t="s">
        <v>91</v>
      </c>
      <c r="C91" t="s">
        <v>166</v>
      </c>
    </row>
    <row r="92" spans="1:3" x14ac:dyDescent="0.35">
      <c r="A92" s="20" t="s">
        <v>237</v>
      </c>
      <c r="B92" t="s">
        <v>83</v>
      </c>
      <c r="C92" t="s">
        <v>239</v>
      </c>
    </row>
    <row r="93" spans="1:3" x14ac:dyDescent="0.35">
      <c r="A93" s="20" t="s">
        <v>237</v>
      </c>
      <c r="B93" t="s">
        <v>123</v>
      </c>
      <c r="C93" t="s">
        <v>240</v>
      </c>
    </row>
    <row r="94" spans="1:3" x14ac:dyDescent="0.35">
      <c r="A94" s="20" t="s">
        <v>241</v>
      </c>
      <c r="B94" t="s">
        <v>119</v>
      </c>
      <c r="C94" t="s">
        <v>242</v>
      </c>
    </row>
    <row r="95" spans="1:3" x14ac:dyDescent="0.35">
      <c r="A95" s="20" t="s">
        <v>241</v>
      </c>
      <c r="B95" t="s">
        <v>91</v>
      </c>
      <c r="C95" t="s">
        <v>142</v>
      </c>
    </row>
    <row r="96" spans="1:3" x14ac:dyDescent="0.35">
      <c r="A96" s="20" t="s">
        <v>241</v>
      </c>
      <c r="B96" t="s">
        <v>91</v>
      </c>
      <c r="C96" t="s">
        <v>167</v>
      </c>
    </row>
    <row r="97" spans="1:3" x14ac:dyDescent="0.35">
      <c r="A97" s="20" t="s">
        <v>241</v>
      </c>
      <c r="B97" t="s">
        <v>83</v>
      </c>
      <c r="C97" t="s">
        <v>243</v>
      </c>
    </row>
    <row r="98" spans="1:3" x14ac:dyDescent="0.35">
      <c r="A98" s="20" t="s">
        <v>241</v>
      </c>
      <c r="B98" t="s">
        <v>123</v>
      </c>
      <c r="C98" t="s">
        <v>244</v>
      </c>
    </row>
    <row r="99" spans="1:3" x14ac:dyDescent="0.35">
      <c r="A99" s="20" t="s">
        <v>245</v>
      </c>
      <c r="B99" t="s">
        <v>119</v>
      </c>
      <c r="C99" t="s">
        <v>246</v>
      </c>
    </row>
    <row r="100" spans="1:3" x14ac:dyDescent="0.35">
      <c r="A100" s="20" t="s">
        <v>245</v>
      </c>
      <c r="B100" t="s">
        <v>91</v>
      </c>
      <c r="C100" t="s">
        <v>143</v>
      </c>
    </row>
    <row r="101" spans="1:3" x14ac:dyDescent="0.35">
      <c r="A101" s="20" t="s">
        <v>245</v>
      </c>
      <c r="B101" t="s">
        <v>91</v>
      </c>
      <c r="C101" t="s">
        <v>168</v>
      </c>
    </row>
    <row r="102" spans="1:3" x14ac:dyDescent="0.35">
      <c r="A102" s="20" t="s">
        <v>245</v>
      </c>
      <c r="B102" t="s">
        <v>83</v>
      </c>
      <c r="C102" t="s">
        <v>247</v>
      </c>
    </row>
    <row r="103" spans="1:3" x14ac:dyDescent="0.35">
      <c r="A103" s="20" t="s">
        <v>245</v>
      </c>
      <c r="B103" t="s">
        <v>123</v>
      </c>
      <c r="C103" t="s">
        <v>248</v>
      </c>
    </row>
    <row r="104" spans="1:3" x14ac:dyDescent="0.35">
      <c r="A104" s="20" t="s">
        <v>249</v>
      </c>
      <c r="B104" t="s">
        <v>119</v>
      </c>
      <c r="C104" t="s">
        <v>250</v>
      </c>
    </row>
    <row r="105" spans="1:3" x14ac:dyDescent="0.35">
      <c r="A105" s="20" t="s">
        <v>249</v>
      </c>
      <c r="B105" t="s">
        <v>91</v>
      </c>
      <c r="C105" t="s">
        <v>144</v>
      </c>
    </row>
    <row r="106" spans="1:3" x14ac:dyDescent="0.35">
      <c r="A106" s="20" t="s">
        <v>251</v>
      </c>
      <c r="B106" t="s">
        <v>91</v>
      </c>
      <c r="C106" t="s">
        <v>169</v>
      </c>
    </row>
    <row r="107" spans="1:3" x14ac:dyDescent="0.35">
      <c r="A107" s="20" t="s">
        <v>251</v>
      </c>
      <c r="B107" t="s">
        <v>83</v>
      </c>
      <c r="C107" t="s">
        <v>252</v>
      </c>
    </row>
    <row r="108" spans="1:3" x14ac:dyDescent="0.35">
      <c r="A108" s="20" t="s">
        <v>251</v>
      </c>
      <c r="B108" t="s">
        <v>123</v>
      </c>
      <c r="C108" t="s">
        <v>253</v>
      </c>
    </row>
    <row r="109" spans="1:3" x14ac:dyDescent="0.35">
      <c r="A109" s="20" t="s">
        <v>254</v>
      </c>
      <c r="B109" t="s">
        <v>119</v>
      </c>
      <c r="C109" t="s">
        <v>255</v>
      </c>
    </row>
    <row r="110" spans="1:3" x14ac:dyDescent="0.35">
      <c r="A110" s="20" t="s">
        <v>254</v>
      </c>
      <c r="B110" t="s">
        <v>91</v>
      </c>
      <c r="C110" t="s">
        <v>145</v>
      </c>
    </row>
    <row r="111" spans="1:3" x14ac:dyDescent="0.35">
      <c r="A111" s="20" t="s">
        <v>256</v>
      </c>
      <c r="B111" t="s">
        <v>91</v>
      </c>
      <c r="C111" t="s">
        <v>257</v>
      </c>
    </row>
    <row r="112" spans="1:3" x14ac:dyDescent="0.35">
      <c r="A112" s="20" t="s">
        <v>256</v>
      </c>
      <c r="B112" t="s">
        <v>123</v>
      </c>
      <c r="C112" t="s">
        <v>129</v>
      </c>
    </row>
    <row r="113" spans="1:3" x14ac:dyDescent="0.35">
      <c r="A113" s="20" t="s">
        <v>256</v>
      </c>
      <c r="B113" t="s">
        <v>83</v>
      </c>
      <c r="C113" t="s">
        <v>258</v>
      </c>
    </row>
    <row r="114" spans="1:3" x14ac:dyDescent="0.35">
      <c r="A114" s="20" t="s">
        <v>256</v>
      </c>
      <c r="B114" t="s">
        <v>123</v>
      </c>
      <c r="C114" t="s">
        <v>259</v>
      </c>
    </row>
    <row r="115" spans="1:3" x14ac:dyDescent="0.35">
      <c r="A115" s="20" t="s">
        <v>260</v>
      </c>
      <c r="B115" t="s">
        <v>119</v>
      </c>
      <c r="C115" t="s">
        <v>261</v>
      </c>
    </row>
    <row r="116" spans="1:3" x14ac:dyDescent="0.35">
      <c r="A116" s="20" t="s">
        <v>260</v>
      </c>
      <c r="B116" t="s">
        <v>91</v>
      </c>
      <c r="C116" t="s">
        <v>146</v>
      </c>
    </row>
    <row r="117" spans="1:3" x14ac:dyDescent="0.35">
      <c r="A117" s="20" t="s">
        <v>260</v>
      </c>
      <c r="B117" t="s">
        <v>91</v>
      </c>
      <c r="C117" t="s">
        <v>172</v>
      </c>
    </row>
    <row r="118" spans="1:3" x14ac:dyDescent="0.35">
      <c r="A118" s="20" t="s">
        <v>262</v>
      </c>
      <c r="B118" t="s">
        <v>123</v>
      </c>
      <c r="C118" t="s">
        <v>263</v>
      </c>
    </row>
    <row r="119" spans="1:3" x14ac:dyDescent="0.35">
      <c r="A119" s="20" t="s">
        <v>262</v>
      </c>
      <c r="B119" t="s">
        <v>83</v>
      </c>
      <c r="C119" t="s">
        <v>264</v>
      </c>
    </row>
    <row r="120" spans="1:3" x14ac:dyDescent="0.35">
      <c r="A120" s="20" t="s">
        <v>262</v>
      </c>
      <c r="B120" t="s">
        <v>123</v>
      </c>
      <c r="C120" t="s">
        <v>265</v>
      </c>
    </row>
    <row r="121" spans="1:3" x14ac:dyDescent="0.35">
      <c r="A121" s="20" t="s">
        <v>266</v>
      </c>
      <c r="B121" t="s">
        <v>119</v>
      </c>
      <c r="C121" t="s">
        <v>267</v>
      </c>
    </row>
    <row r="122" spans="1:3" x14ac:dyDescent="0.35">
      <c r="A122" s="20" t="s">
        <v>266</v>
      </c>
      <c r="B122" t="s">
        <v>91</v>
      </c>
      <c r="C122" t="s">
        <v>147</v>
      </c>
    </row>
    <row r="123" spans="1:3" x14ac:dyDescent="0.35">
      <c r="A123" s="20" t="s">
        <v>266</v>
      </c>
      <c r="B123" t="s">
        <v>91</v>
      </c>
      <c r="C123" t="s">
        <v>173</v>
      </c>
    </row>
    <row r="124" spans="1:3" x14ac:dyDescent="0.35">
      <c r="A124" s="20" t="s">
        <v>266</v>
      </c>
      <c r="B124" t="s">
        <v>83</v>
      </c>
      <c r="C124" t="s">
        <v>268</v>
      </c>
    </row>
    <row r="125" spans="1:3" x14ac:dyDescent="0.35">
      <c r="A125" s="20" t="s">
        <v>266</v>
      </c>
      <c r="B125" t="s">
        <v>123</v>
      </c>
      <c r="C125" t="s">
        <v>269</v>
      </c>
    </row>
    <row r="126" spans="1:3" x14ac:dyDescent="0.35">
      <c r="A126" s="20" t="s">
        <v>270</v>
      </c>
      <c r="B126" t="s">
        <v>123</v>
      </c>
      <c r="C126" t="s">
        <v>271</v>
      </c>
    </row>
    <row r="127" spans="1:3" x14ac:dyDescent="0.35">
      <c r="A127" s="20" t="s">
        <v>272</v>
      </c>
      <c r="B127" t="s">
        <v>119</v>
      </c>
      <c r="C127" t="s">
        <v>273</v>
      </c>
    </row>
    <row r="128" spans="1:3" x14ac:dyDescent="0.35">
      <c r="A128" s="20" t="s">
        <v>272</v>
      </c>
      <c r="B128" t="s">
        <v>91</v>
      </c>
      <c r="C128" t="s">
        <v>148</v>
      </c>
    </row>
    <row r="129" spans="1:3" x14ac:dyDescent="0.35">
      <c r="A129" s="20" t="s">
        <v>272</v>
      </c>
      <c r="B129" t="s">
        <v>91</v>
      </c>
      <c r="C129" t="s">
        <v>174</v>
      </c>
    </row>
    <row r="130" spans="1:3" x14ac:dyDescent="0.35">
      <c r="A130" s="20" t="s">
        <v>272</v>
      </c>
      <c r="B130" t="s">
        <v>83</v>
      </c>
      <c r="C130" t="s">
        <v>274</v>
      </c>
    </row>
    <row r="131" spans="1:3" x14ac:dyDescent="0.35">
      <c r="A131" s="20" t="s">
        <v>272</v>
      </c>
      <c r="B131" t="s">
        <v>123</v>
      </c>
      <c r="C131" t="s">
        <v>275</v>
      </c>
    </row>
    <row r="132" spans="1:3" x14ac:dyDescent="0.35">
      <c r="A132" s="20" t="s">
        <v>276</v>
      </c>
      <c r="B132" t="s">
        <v>119</v>
      </c>
      <c r="C132" t="s">
        <v>277</v>
      </c>
    </row>
    <row r="133" spans="1:3" x14ac:dyDescent="0.35">
      <c r="A133" s="20" t="s">
        <v>276</v>
      </c>
      <c r="B133" t="s">
        <v>91</v>
      </c>
      <c r="C133" t="s">
        <v>157</v>
      </c>
    </row>
    <row r="134" spans="1:3" x14ac:dyDescent="0.35">
      <c r="A134" s="20" t="s">
        <v>276</v>
      </c>
      <c r="B134" t="s">
        <v>91</v>
      </c>
      <c r="C134" t="s">
        <v>278</v>
      </c>
    </row>
    <row r="135" spans="1:3" x14ac:dyDescent="0.35">
      <c r="A135" s="20" t="s">
        <v>276</v>
      </c>
      <c r="B135" t="s">
        <v>83</v>
      </c>
      <c r="C135" t="s">
        <v>279</v>
      </c>
    </row>
    <row r="136" spans="1:3" x14ac:dyDescent="0.35">
      <c r="A136" s="20" t="s">
        <v>276</v>
      </c>
      <c r="B136" t="s">
        <v>123</v>
      </c>
      <c r="C136" t="s">
        <v>280</v>
      </c>
    </row>
    <row r="137" spans="1:3" x14ac:dyDescent="0.35">
      <c r="A137" s="20" t="s">
        <v>281</v>
      </c>
      <c r="B137" t="s">
        <v>119</v>
      </c>
      <c r="C137" t="s">
        <v>282</v>
      </c>
    </row>
    <row r="138" spans="1:3" x14ac:dyDescent="0.35">
      <c r="A138" s="20" t="s">
        <v>281</v>
      </c>
      <c r="B138" t="s">
        <v>91</v>
      </c>
      <c r="C138" t="s">
        <v>283</v>
      </c>
    </row>
    <row r="139" spans="1:3" x14ac:dyDescent="0.35">
      <c r="A139" s="20" t="s">
        <v>281</v>
      </c>
      <c r="B139" t="s">
        <v>83</v>
      </c>
      <c r="C139" t="s">
        <v>284</v>
      </c>
    </row>
    <row r="140" spans="1:3" x14ac:dyDescent="0.35">
      <c r="A140" s="20" t="s">
        <v>281</v>
      </c>
      <c r="B140" t="s">
        <v>123</v>
      </c>
      <c r="C140" t="s">
        <v>285</v>
      </c>
    </row>
    <row r="141" spans="1:3" x14ac:dyDescent="0.35">
      <c r="A141" s="20" t="s">
        <v>286</v>
      </c>
      <c r="B141" t="s">
        <v>119</v>
      </c>
      <c r="C141" t="s">
        <v>287</v>
      </c>
    </row>
    <row r="142" spans="1:3" x14ac:dyDescent="0.35">
      <c r="A142" s="20" t="s">
        <v>286</v>
      </c>
      <c r="B142" t="s">
        <v>91</v>
      </c>
      <c r="C142" t="s">
        <v>288</v>
      </c>
    </row>
    <row r="143" spans="1:3" x14ac:dyDescent="0.35">
      <c r="A143" s="20" t="s">
        <v>286</v>
      </c>
      <c r="B143" t="s">
        <v>83</v>
      </c>
      <c r="C143" t="s">
        <v>289</v>
      </c>
    </row>
    <row r="144" spans="1:3" x14ac:dyDescent="0.35">
      <c r="A144" s="20" t="s">
        <v>286</v>
      </c>
      <c r="B144" t="s">
        <v>123</v>
      </c>
      <c r="C144" t="s">
        <v>290</v>
      </c>
    </row>
    <row r="145" spans="1:3" x14ac:dyDescent="0.35">
      <c r="A145" s="20" t="s">
        <v>291</v>
      </c>
      <c r="B145" t="s">
        <v>119</v>
      </c>
      <c r="C145" t="s">
        <v>292</v>
      </c>
    </row>
    <row r="146" spans="1:3" x14ac:dyDescent="0.35">
      <c r="A146" s="20" t="s">
        <v>291</v>
      </c>
      <c r="B146" t="s">
        <v>91</v>
      </c>
      <c r="C146" t="s">
        <v>293</v>
      </c>
    </row>
    <row r="147" spans="1:3" x14ac:dyDescent="0.35">
      <c r="A147" s="20" t="s">
        <v>291</v>
      </c>
      <c r="B147" t="s">
        <v>83</v>
      </c>
      <c r="C147" t="s">
        <v>294</v>
      </c>
    </row>
    <row r="148" spans="1:3" x14ac:dyDescent="0.35">
      <c r="A148" s="20" t="s">
        <v>291</v>
      </c>
      <c r="B148" t="s">
        <v>123</v>
      </c>
      <c r="C148" t="s">
        <v>295</v>
      </c>
    </row>
    <row r="149" spans="1:3" x14ac:dyDescent="0.35">
      <c r="A149" s="20" t="s">
        <v>296</v>
      </c>
      <c r="B149" t="s">
        <v>119</v>
      </c>
      <c r="C149" t="s">
        <v>287</v>
      </c>
    </row>
    <row r="150" spans="1:3" x14ac:dyDescent="0.35">
      <c r="A150" s="20" t="s">
        <v>296</v>
      </c>
      <c r="B150" t="s">
        <v>91</v>
      </c>
      <c r="C150" t="s">
        <v>297</v>
      </c>
    </row>
    <row r="151" spans="1:3" x14ac:dyDescent="0.35">
      <c r="A151" s="20" t="s">
        <v>296</v>
      </c>
      <c r="B151" t="s">
        <v>83</v>
      </c>
      <c r="C151" t="s">
        <v>298</v>
      </c>
    </row>
    <row r="152" spans="1:3" x14ac:dyDescent="0.35">
      <c r="A152" s="20" t="s">
        <v>296</v>
      </c>
      <c r="B152" t="s">
        <v>123</v>
      </c>
      <c r="C152" t="s">
        <v>299</v>
      </c>
    </row>
    <row r="153" spans="1:3" x14ac:dyDescent="0.35">
      <c r="A153" s="20" t="s">
        <v>300</v>
      </c>
      <c r="B153" t="s">
        <v>119</v>
      </c>
      <c r="C153" t="s">
        <v>292</v>
      </c>
    </row>
    <row r="154" spans="1:3" x14ac:dyDescent="0.35">
      <c r="A154" s="20" t="s">
        <v>300</v>
      </c>
      <c r="B154" t="s">
        <v>91</v>
      </c>
      <c r="C154" t="s">
        <v>301</v>
      </c>
    </row>
    <row r="155" spans="1:3" x14ac:dyDescent="0.35">
      <c r="A155" s="20" t="s">
        <v>300</v>
      </c>
      <c r="B155" t="s">
        <v>83</v>
      </c>
      <c r="C155" t="s">
        <v>302</v>
      </c>
    </row>
    <row r="156" spans="1:3" x14ac:dyDescent="0.35">
      <c r="A156" s="20" t="s">
        <v>300</v>
      </c>
      <c r="B156" t="s">
        <v>123</v>
      </c>
      <c r="C156" t="s">
        <v>303</v>
      </c>
    </row>
    <row r="157" spans="1:3" x14ac:dyDescent="0.35">
      <c r="A157" s="20" t="s">
        <v>304</v>
      </c>
      <c r="B157" t="s">
        <v>83</v>
      </c>
    </row>
    <row r="158" spans="1:3" x14ac:dyDescent="0.35">
      <c r="A158" s="20" t="s">
        <v>315</v>
      </c>
      <c r="B158" t="s">
        <v>316</v>
      </c>
      <c r="C158" t="s">
        <v>317</v>
      </c>
    </row>
    <row r="159" spans="1:3" x14ac:dyDescent="0.35">
      <c r="A159" s="20" t="s">
        <v>325</v>
      </c>
      <c r="B159" t="s">
        <v>316</v>
      </c>
      <c r="C159" t="s">
        <v>326</v>
      </c>
    </row>
    <row r="160" spans="1:3" x14ac:dyDescent="0.35">
      <c r="A160" s="20" t="s">
        <v>327</v>
      </c>
      <c r="B160" t="s">
        <v>316</v>
      </c>
      <c r="C160" t="s">
        <v>326</v>
      </c>
    </row>
    <row r="161" spans="1:3" x14ac:dyDescent="0.35">
      <c r="A161" s="20" t="s">
        <v>328</v>
      </c>
      <c r="B161" t="s">
        <v>316</v>
      </c>
      <c r="C161" t="s">
        <v>317</v>
      </c>
    </row>
    <row r="162" spans="1:3" x14ac:dyDescent="0.35">
      <c r="A162" s="20" t="s">
        <v>329</v>
      </c>
      <c r="B162" t="s">
        <v>316</v>
      </c>
      <c r="C162" t="s">
        <v>326</v>
      </c>
    </row>
    <row r="163" spans="1:3" x14ac:dyDescent="0.35">
      <c r="A163" s="20" t="s">
        <v>330</v>
      </c>
      <c r="B163" t="s">
        <v>316</v>
      </c>
      <c r="C163" t="s">
        <v>326</v>
      </c>
    </row>
    <row r="164" spans="1:3" x14ac:dyDescent="0.35">
      <c r="A164" s="20" t="s">
        <v>331</v>
      </c>
      <c r="B164" t="s">
        <v>332</v>
      </c>
      <c r="C164" t="s">
        <v>333</v>
      </c>
    </row>
    <row r="165" spans="1:3" x14ac:dyDescent="0.35">
      <c r="A165" s="20" t="s">
        <v>334</v>
      </c>
      <c r="B165" t="s">
        <v>332</v>
      </c>
      <c r="C165" t="s">
        <v>333</v>
      </c>
    </row>
    <row r="166" spans="1:3" x14ac:dyDescent="0.35">
      <c r="A166" s="20" t="s">
        <v>335</v>
      </c>
      <c r="B166" t="s">
        <v>332</v>
      </c>
      <c r="C166" t="s">
        <v>333</v>
      </c>
    </row>
    <row r="167" spans="1:3" x14ac:dyDescent="0.35">
      <c r="A167" s="20" t="s">
        <v>336</v>
      </c>
      <c r="B167" t="s">
        <v>316</v>
      </c>
      <c r="C167" t="s">
        <v>317</v>
      </c>
    </row>
    <row r="168" spans="1:3" x14ac:dyDescent="0.35">
      <c r="A168" s="20" t="s">
        <v>337</v>
      </c>
      <c r="B168" t="s">
        <v>316</v>
      </c>
      <c r="C168" t="s">
        <v>338</v>
      </c>
    </row>
    <row r="169" spans="1:3" x14ac:dyDescent="0.35">
      <c r="A169" s="20" t="s">
        <v>417</v>
      </c>
      <c r="B169" t="s">
        <v>418</v>
      </c>
      <c r="C169" t="s">
        <v>419</v>
      </c>
    </row>
    <row r="170" spans="1:3" x14ac:dyDescent="0.35">
      <c r="A170" s="20" t="s">
        <v>420</v>
      </c>
      <c r="B170" t="s">
        <v>418</v>
      </c>
      <c r="C170" t="s">
        <v>421</v>
      </c>
    </row>
    <row r="171" spans="1:3" x14ac:dyDescent="0.35">
      <c r="A171" s="20" t="s">
        <v>422</v>
      </c>
      <c r="B171" t="s">
        <v>418</v>
      </c>
      <c r="C171" t="s">
        <v>423</v>
      </c>
    </row>
    <row r="172" spans="1:3" x14ac:dyDescent="0.35">
      <c r="A172" s="20" t="s">
        <v>431</v>
      </c>
      <c r="B172" t="s">
        <v>418</v>
      </c>
      <c r="C172" t="s">
        <v>419</v>
      </c>
    </row>
    <row r="173" spans="1:3" x14ac:dyDescent="0.35">
      <c r="A173" s="20" t="s">
        <v>432</v>
      </c>
      <c r="B173" t="s">
        <v>418</v>
      </c>
      <c r="C173" t="s">
        <v>419</v>
      </c>
    </row>
    <row r="174" spans="1:3" x14ac:dyDescent="0.35">
      <c r="A174" s="20" t="s">
        <v>490</v>
      </c>
      <c r="B174" t="s">
        <v>316</v>
      </c>
      <c r="C174" t="s">
        <v>491</v>
      </c>
    </row>
    <row r="175" spans="1:3" x14ac:dyDescent="0.35">
      <c r="A175" s="20" t="s">
        <v>492</v>
      </c>
      <c r="B175" t="s">
        <v>316</v>
      </c>
      <c r="C175" t="s">
        <v>493</v>
      </c>
    </row>
    <row r="176" spans="1:3" x14ac:dyDescent="0.35">
      <c r="A176" s="20" t="s">
        <v>494</v>
      </c>
      <c r="B176" t="s">
        <v>316</v>
      </c>
      <c r="C176" t="s">
        <v>491</v>
      </c>
    </row>
    <row r="177" spans="1:3" x14ac:dyDescent="0.35">
      <c r="A177" s="20" t="s">
        <v>495</v>
      </c>
      <c r="B177" t="s">
        <v>316</v>
      </c>
      <c r="C177" t="s">
        <v>491</v>
      </c>
    </row>
    <row r="178" spans="1:3" x14ac:dyDescent="0.35">
      <c r="A178" s="20" t="s">
        <v>496</v>
      </c>
      <c r="B178" t="s">
        <v>316</v>
      </c>
      <c r="C178" t="s">
        <v>491</v>
      </c>
    </row>
    <row r="179" spans="1:3" x14ac:dyDescent="0.35">
      <c r="A179" s="20" t="s">
        <v>498</v>
      </c>
      <c r="B179" t="s">
        <v>316</v>
      </c>
      <c r="C179" t="s">
        <v>493</v>
      </c>
    </row>
    <row r="180" spans="1:3" x14ac:dyDescent="0.35">
      <c r="A180" s="20" t="s">
        <v>511</v>
      </c>
      <c r="B180" t="s">
        <v>316</v>
      </c>
      <c r="C180" t="s">
        <v>491</v>
      </c>
    </row>
    <row r="181" spans="1:3" x14ac:dyDescent="0.35">
      <c r="A181" s="20" t="s">
        <v>512</v>
      </c>
      <c r="B181" t="s">
        <v>316</v>
      </c>
      <c r="C181" t="s">
        <v>493</v>
      </c>
    </row>
    <row r="182" spans="1:3" x14ac:dyDescent="0.35">
      <c r="A182" s="20" t="s">
        <v>516</v>
      </c>
      <c r="B182" t="s">
        <v>332</v>
      </c>
      <c r="C182" t="s">
        <v>517</v>
      </c>
    </row>
    <row r="183" spans="1:3" x14ac:dyDescent="0.35">
      <c r="A183" s="20" t="s">
        <v>518</v>
      </c>
      <c r="B183" t="s">
        <v>332</v>
      </c>
      <c r="C183" t="s">
        <v>517</v>
      </c>
    </row>
    <row r="184" spans="1:3" x14ac:dyDescent="0.35">
      <c r="A184" s="20" t="s">
        <v>519</v>
      </c>
      <c r="B184" t="s">
        <v>332</v>
      </c>
      <c r="C184" t="s">
        <v>517</v>
      </c>
    </row>
    <row r="185" spans="1:3" x14ac:dyDescent="0.35">
      <c r="A185" s="20" t="s">
        <v>520</v>
      </c>
      <c r="B185" t="s">
        <v>332</v>
      </c>
      <c r="C185" t="s">
        <v>517</v>
      </c>
    </row>
    <row r="186" spans="1:3" x14ac:dyDescent="0.35">
      <c r="A186" s="20" t="s">
        <v>521</v>
      </c>
      <c r="B186" t="s">
        <v>332</v>
      </c>
      <c r="C186" t="s">
        <v>517</v>
      </c>
    </row>
    <row r="187" spans="1:3" x14ac:dyDescent="0.35">
      <c r="A187" s="20" t="s">
        <v>522</v>
      </c>
      <c r="B187" t="s">
        <v>523</v>
      </c>
      <c r="C187" t="s">
        <v>524</v>
      </c>
    </row>
    <row r="188" spans="1:3" x14ac:dyDescent="0.35">
      <c r="A188" s="20" t="s">
        <v>522</v>
      </c>
      <c r="B188" t="s">
        <v>523</v>
      </c>
      <c r="C188" t="s">
        <v>525</v>
      </c>
    </row>
    <row r="189" spans="1:3" x14ac:dyDescent="0.35">
      <c r="A189" s="20" t="s">
        <v>526</v>
      </c>
      <c r="B189" t="s">
        <v>316</v>
      </c>
      <c r="C189" t="s">
        <v>493</v>
      </c>
    </row>
    <row r="190" spans="1:3" x14ac:dyDescent="0.35">
      <c r="A190" s="20" t="s">
        <v>527</v>
      </c>
      <c r="B190" t="s">
        <v>523</v>
      </c>
      <c r="C190" t="s">
        <v>524</v>
      </c>
    </row>
    <row r="191" spans="1:3" x14ac:dyDescent="0.35">
      <c r="A191" s="20" t="s">
        <v>528</v>
      </c>
      <c r="B191" t="s">
        <v>523</v>
      </c>
      <c r="C191" t="s">
        <v>529</v>
      </c>
    </row>
    <row r="192" spans="1:3" x14ac:dyDescent="0.35">
      <c r="A192" s="20" t="s">
        <v>530</v>
      </c>
      <c r="B192" t="s">
        <v>523</v>
      </c>
      <c r="C192" t="s">
        <v>524</v>
      </c>
    </row>
    <row r="193" spans="1:3" x14ac:dyDescent="0.35">
      <c r="A193" s="20" t="s">
        <v>530</v>
      </c>
      <c r="B193" t="s">
        <v>523</v>
      </c>
      <c r="C193" t="s">
        <v>525</v>
      </c>
    </row>
    <row r="194" spans="1:3" x14ac:dyDescent="0.35">
      <c r="A194" s="20" t="s">
        <v>531</v>
      </c>
      <c r="B194" t="s">
        <v>523</v>
      </c>
      <c r="C194" t="s">
        <v>529</v>
      </c>
    </row>
    <row r="195" spans="1:3" x14ac:dyDescent="0.35">
      <c r="A195" s="20" t="s">
        <v>532</v>
      </c>
      <c r="B195" t="s">
        <v>523</v>
      </c>
      <c r="C195" t="s">
        <v>524</v>
      </c>
    </row>
    <row r="196" spans="1:3" x14ac:dyDescent="0.35">
      <c r="A196" s="20" t="s">
        <v>532</v>
      </c>
      <c r="B196" t="s">
        <v>523</v>
      </c>
      <c r="C196" t="s">
        <v>525</v>
      </c>
    </row>
    <row r="197" spans="1:3" x14ac:dyDescent="0.35">
      <c r="A197" s="20" t="s">
        <v>533</v>
      </c>
      <c r="B197" t="s">
        <v>523</v>
      </c>
      <c r="C197" t="s">
        <v>529</v>
      </c>
    </row>
    <row r="198" spans="1:3" x14ac:dyDescent="0.35">
      <c r="A198" s="20" t="s">
        <v>534</v>
      </c>
      <c r="B198" t="s">
        <v>523</v>
      </c>
      <c r="C198" t="s">
        <v>535</v>
      </c>
    </row>
    <row r="199" spans="1:3" x14ac:dyDescent="0.35">
      <c r="A199" s="20" t="s">
        <v>534</v>
      </c>
      <c r="B199" t="s">
        <v>523</v>
      </c>
      <c r="C199" t="s">
        <v>536</v>
      </c>
    </row>
    <row r="200" spans="1:3" x14ac:dyDescent="0.35">
      <c r="A200" s="20" t="s">
        <v>537</v>
      </c>
      <c r="B200" t="s">
        <v>523</v>
      </c>
      <c r="C200" t="s">
        <v>529</v>
      </c>
    </row>
    <row r="201" spans="1:3" x14ac:dyDescent="0.35">
      <c r="A201" s="20" t="s">
        <v>538</v>
      </c>
      <c r="B201" t="s">
        <v>523</v>
      </c>
      <c r="C201" t="s">
        <v>539</v>
      </c>
    </row>
    <row r="202" spans="1:3" x14ac:dyDescent="0.35">
      <c r="A202" s="20" t="s">
        <v>538</v>
      </c>
      <c r="B202" t="s">
        <v>523</v>
      </c>
      <c r="C202" t="s">
        <v>540</v>
      </c>
    </row>
    <row r="203" spans="1:3" x14ac:dyDescent="0.35">
      <c r="A203" s="20" t="s">
        <v>541</v>
      </c>
      <c r="B203" t="s">
        <v>523</v>
      </c>
      <c r="C203" t="s">
        <v>529</v>
      </c>
    </row>
    <row r="204" spans="1:3" x14ac:dyDescent="0.35">
      <c r="A204" s="20" t="s">
        <v>542</v>
      </c>
      <c r="B204" t="s">
        <v>523</v>
      </c>
      <c r="C204" t="s">
        <v>535</v>
      </c>
    </row>
    <row r="205" spans="1:3" x14ac:dyDescent="0.35">
      <c r="A205" s="20" t="s">
        <v>542</v>
      </c>
      <c r="B205" t="s">
        <v>523</v>
      </c>
      <c r="C205" t="s">
        <v>536</v>
      </c>
    </row>
    <row r="206" spans="1:3" x14ac:dyDescent="0.35">
      <c r="A206" s="20" t="s">
        <v>545</v>
      </c>
      <c r="B206" t="s">
        <v>316</v>
      </c>
      <c r="C206" t="s">
        <v>546</v>
      </c>
    </row>
    <row r="207" spans="1:3" x14ac:dyDescent="0.35">
      <c r="A207" s="20" t="s">
        <v>545</v>
      </c>
      <c r="B207" t="s">
        <v>523</v>
      </c>
      <c r="C207" t="s">
        <v>547</v>
      </c>
    </row>
    <row r="208" spans="1:3" x14ac:dyDescent="0.35">
      <c r="A208" s="20" t="s">
        <v>550</v>
      </c>
      <c r="B208" t="s">
        <v>551</v>
      </c>
      <c r="C208" t="s">
        <v>552</v>
      </c>
    </row>
    <row r="209" spans="1:3" x14ac:dyDescent="0.35">
      <c r="A209" s="20" t="s">
        <v>553</v>
      </c>
      <c r="B209" t="s">
        <v>551</v>
      </c>
      <c r="C209" t="s">
        <v>554</v>
      </c>
    </row>
    <row r="210" spans="1:3" x14ac:dyDescent="0.35">
      <c r="A210" s="20" t="s">
        <v>555</v>
      </c>
      <c r="B210" t="s">
        <v>551</v>
      </c>
      <c r="C210" t="s">
        <v>556</v>
      </c>
    </row>
    <row r="211" spans="1:3" x14ac:dyDescent="0.35">
      <c r="A211" s="20" t="s">
        <v>557</v>
      </c>
      <c r="B211" t="s">
        <v>551</v>
      </c>
      <c r="C211" t="s">
        <v>552</v>
      </c>
    </row>
    <row r="212" spans="1:3" x14ac:dyDescent="0.35">
      <c r="A212" s="20" t="s">
        <v>558</v>
      </c>
      <c r="B212" t="s">
        <v>551</v>
      </c>
      <c r="C212" t="s">
        <v>552</v>
      </c>
    </row>
    <row r="213" spans="1:3" x14ac:dyDescent="0.35">
      <c r="A213" s="20" t="s">
        <v>559</v>
      </c>
      <c r="B213" t="s">
        <v>551</v>
      </c>
      <c r="C213" t="s">
        <v>560</v>
      </c>
    </row>
    <row r="214" spans="1:3" x14ac:dyDescent="0.35">
      <c r="A214" s="20" t="s">
        <v>561</v>
      </c>
      <c r="B214" t="s">
        <v>551</v>
      </c>
      <c r="C214" t="s">
        <v>562</v>
      </c>
    </row>
    <row r="215" spans="1:3" x14ac:dyDescent="0.35">
      <c r="A215" s="20" t="s">
        <v>563</v>
      </c>
      <c r="B215" t="s">
        <v>551</v>
      </c>
      <c r="C215" t="s">
        <v>552</v>
      </c>
    </row>
    <row r="216" spans="1:3" x14ac:dyDescent="0.35">
      <c r="A216" s="20" t="s">
        <v>564</v>
      </c>
      <c r="B216" t="s">
        <v>418</v>
      </c>
      <c r="C216" t="s">
        <v>565</v>
      </c>
    </row>
    <row r="217" spans="1:3" x14ac:dyDescent="0.35">
      <c r="A217" s="20" t="s">
        <v>564</v>
      </c>
      <c r="B217" t="s">
        <v>418</v>
      </c>
      <c r="C217" t="s">
        <v>566</v>
      </c>
    </row>
    <row r="218" spans="1:3" x14ac:dyDescent="0.35">
      <c r="A218" s="20" t="s">
        <v>567</v>
      </c>
      <c r="B218" t="s">
        <v>418</v>
      </c>
      <c r="C218" t="s">
        <v>565</v>
      </c>
    </row>
    <row r="219" spans="1:3" x14ac:dyDescent="0.35">
      <c r="A219" s="20" t="s">
        <v>568</v>
      </c>
      <c r="B219" t="s">
        <v>418</v>
      </c>
      <c r="C219" t="s">
        <v>566</v>
      </c>
    </row>
    <row r="220" spans="1:3" x14ac:dyDescent="0.35">
      <c r="A220" s="20" t="s">
        <v>569</v>
      </c>
      <c r="B220" t="s">
        <v>418</v>
      </c>
      <c r="C220" t="s">
        <v>565</v>
      </c>
    </row>
    <row r="221" spans="1:3" x14ac:dyDescent="0.35">
      <c r="A221" s="20" t="s">
        <v>570</v>
      </c>
      <c r="B221" t="s">
        <v>418</v>
      </c>
      <c r="C221" t="s">
        <v>566</v>
      </c>
    </row>
    <row r="222" spans="1:3" x14ac:dyDescent="0.35">
      <c r="A222" s="20" t="s">
        <v>571</v>
      </c>
      <c r="B222" t="s">
        <v>418</v>
      </c>
      <c r="C222" t="s">
        <v>572</v>
      </c>
    </row>
    <row r="223" spans="1:3" ht="58" x14ac:dyDescent="0.35">
      <c r="A223" s="20" t="s">
        <v>571</v>
      </c>
      <c r="B223" t="s">
        <v>418</v>
      </c>
      <c r="C223" s="41" t="s">
        <v>573</v>
      </c>
    </row>
    <row r="224" spans="1:3" x14ac:dyDescent="0.35">
      <c r="A224" s="20" t="s">
        <v>574</v>
      </c>
      <c r="B224" t="s">
        <v>418</v>
      </c>
      <c r="C224" t="s">
        <v>575</v>
      </c>
    </row>
    <row r="225" spans="1:3" ht="72.5" x14ac:dyDescent="0.35">
      <c r="A225" s="20" t="s">
        <v>576</v>
      </c>
      <c r="B225" t="s">
        <v>418</v>
      </c>
      <c r="C225" s="41" t="s">
        <v>577</v>
      </c>
    </row>
    <row r="226" spans="1:3" x14ac:dyDescent="0.35">
      <c r="A226" s="20" t="s">
        <v>578</v>
      </c>
      <c r="B226" t="s">
        <v>106</v>
      </c>
      <c r="C226" t="s">
        <v>579</v>
      </c>
    </row>
    <row r="227" spans="1:3" x14ac:dyDescent="0.35">
      <c r="A227" s="20" t="s">
        <v>580</v>
      </c>
      <c r="B227" t="s">
        <v>106</v>
      </c>
      <c r="C227" t="s">
        <v>579</v>
      </c>
    </row>
    <row r="228" spans="1:3" x14ac:dyDescent="0.35">
      <c r="A228" s="20" t="s">
        <v>581</v>
      </c>
      <c r="B228" t="s">
        <v>106</v>
      </c>
      <c r="C228" t="s">
        <v>579</v>
      </c>
    </row>
    <row r="229" spans="1:3" x14ac:dyDescent="0.35">
      <c r="A229" s="20" t="s">
        <v>582</v>
      </c>
      <c r="B229" t="s">
        <v>106</v>
      </c>
      <c r="C229" t="s">
        <v>579</v>
      </c>
    </row>
    <row r="230" spans="1:3" x14ac:dyDescent="0.35">
      <c r="A230" s="20" t="s">
        <v>583</v>
      </c>
      <c r="B230" t="s">
        <v>418</v>
      </c>
      <c r="C230" t="s">
        <v>584</v>
      </c>
    </row>
    <row r="231" spans="1:3" ht="72.5" x14ac:dyDescent="0.35">
      <c r="A231" s="20" t="s">
        <v>583</v>
      </c>
      <c r="B231" t="s">
        <v>418</v>
      </c>
      <c r="C231" s="41" t="s">
        <v>585</v>
      </c>
    </row>
    <row r="232" spans="1:3" x14ac:dyDescent="0.35">
      <c r="A232" s="20" t="s">
        <v>586</v>
      </c>
      <c r="B232" t="s">
        <v>418</v>
      </c>
      <c r="C232" t="s">
        <v>587</v>
      </c>
    </row>
    <row r="233" spans="1:3" ht="72.5" x14ac:dyDescent="0.35">
      <c r="A233" s="20" t="s">
        <v>586</v>
      </c>
      <c r="B233" t="s">
        <v>418</v>
      </c>
      <c r="C233" s="41" t="s">
        <v>588</v>
      </c>
    </row>
    <row r="234" spans="1:3" x14ac:dyDescent="0.35">
      <c r="A234" s="20" t="s">
        <v>589</v>
      </c>
      <c r="B234" t="s">
        <v>418</v>
      </c>
      <c r="C234" t="s">
        <v>584</v>
      </c>
    </row>
    <row r="235" spans="1:3" ht="72.5" x14ac:dyDescent="0.35">
      <c r="A235" s="20" t="s">
        <v>590</v>
      </c>
      <c r="B235" t="s">
        <v>418</v>
      </c>
      <c r="C235" s="41" t="s">
        <v>591</v>
      </c>
    </row>
    <row r="236" spans="1:3" x14ac:dyDescent="0.35">
      <c r="A236" s="20" t="s">
        <v>592</v>
      </c>
      <c r="B236" t="s">
        <v>418</v>
      </c>
      <c r="C236" t="s">
        <v>584</v>
      </c>
    </row>
    <row r="237" spans="1:3" ht="72.5" x14ac:dyDescent="0.35">
      <c r="A237" s="20" t="s">
        <v>593</v>
      </c>
      <c r="B237" t="s">
        <v>418</v>
      </c>
      <c r="C237" s="41" t="s">
        <v>594</v>
      </c>
    </row>
    <row r="238" spans="1:3" x14ac:dyDescent="0.35">
      <c r="A238" s="20" t="s">
        <v>595</v>
      </c>
      <c r="B238" t="s">
        <v>418</v>
      </c>
      <c r="C238" t="s">
        <v>596</v>
      </c>
    </row>
    <row r="239" spans="1:3" ht="72.5" x14ac:dyDescent="0.35">
      <c r="A239" s="20" t="s">
        <v>597</v>
      </c>
      <c r="B239" t="s">
        <v>418</v>
      </c>
      <c r="C239" s="41" t="s">
        <v>598</v>
      </c>
    </row>
    <row r="240" spans="1:3" x14ac:dyDescent="0.35">
      <c r="A240" s="20" t="s">
        <v>599</v>
      </c>
      <c r="B240" t="s">
        <v>418</v>
      </c>
      <c r="C240" t="s">
        <v>596</v>
      </c>
    </row>
    <row r="241" spans="1:3" ht="72.5" x14ac:dyDescent="0.35">
      <c r="A241" s="20" t="s">
        <v>600</v>
      </c>
      <c r="B241" t="s">
        <v>418</v>
      </c>
      <c r="C241" s="41" t="s">
        <v>601</v>
      </c>
    </row>
    <row r="242" spans="1:3" x14ac:dyDescent="0.35">
      <c r="A242" s="20" t="s">
        <v>602</v>
      </c>
      <c r="B242" t="s">
        <v>418</v>
      </c>
      <c r="C242" t="s">
        <v>596</v>
      </c>
    </row>
    <row r="243" spans="1:3" ht="72.5" x14ac:dyDescent="0.35">
      <c r="A243" s="20" t="s">
        <v>603</v>
      </c>
      <c r="B243" t="s">
        <v>418</v>
      </c>
      <c r="C243" s="41" t="s">
        <v>604</v>
      </c>
    </row>
    <row r="244" spans="1:3" x14ac:dyDescent="0.35">
      <c r="A244" s="20" t="s">
        <v>605</v>
      </c>
      <c r="B244" t="s">
        <v>418</v>
      </c>
      <c r="C244" t="s">
        <v>596</v>
      </c>
    </row>
    <row r="245" spans="1:3" ht="72.5" x14ac:dyDescent="0.35">
      <c r="A245" s="20" t="s">
        <v>605</v>
      </c>
      <c r="B245" t="s">
        <v>418</v>
      </c>
      <c r="C245" s="41" t="s">
        <v>606</v>
      </c>
    </row>
    <row r="246" spans="1:3" x14ac:dyDescent="0.35">
      <c r="A246" s="20" t="s">
        <v>607</v>
      </c>
      <c r="B246" t="s">
        <v>418</v>
      </c>
      <c r="C246" t="s">
        <v>596</v>
      </c>
    </row>
    <row r="247" spans="1:3" ht="72.5" x14ac:dyDescent="0.35">
      <c r="A247" s="20" t="s">
        <v>608</v>
      </c>
      <c r="B247" t="s">
        <v>418</v>
      </c>
      <c r="C247" s="41" t="s">
        <v>609</v>
      </c>
    </row>
    <row r="248" spans="1:3" x14ac:dyDescent="0.35">
      <c r="A248" s="20" t="s">
        <v>610</v>
      </c>
      <c r="B248" t="s">
        <v>418</v>
      </c>
      <c r="C248" t="s">
        <v>596</v>
      </c>
    </row>
    <row r="249" spans="1:3" ht="72.5" x14ac:dyDescent="0.35">
      <c r="A249" s="20" t="s">
        <v>610</v>
      </c>
      <c r="B249" t="s">
        <v>418</v>
      </c>
      <c r="C249" s="41" t="s">
        <v>611</v>
      </c>
    </row>
    <row r="250" spans="1:3" x14ac:dyDescent="0.35">
      <c r="A250" s="20" t="s">
        <v>612</v>
      </c>
      <c r="B250" t="s">
        <v>418</v>
      </c>
      <c r="C250" t="s">
        <v>584</v>
      </c>
    </row>
    <row r="251" spans="1:3" ht="72.5" x14ac:dyDescent="0.35">
      <c r="A251" s="20" t="s">
        <v>612</v>
      </c>
      <c r="B251" t="s">
        <v>418</v>
      </c>
      <c r="C251" s="41" t="s">
        <v>613</v>
      </c>
    </row>
    <row r="252" spans="1:3" x14ac:dyDescent="0.35">
      <c r="A252" s="20" t="s">
        <v>614</v>
      </c>
      <c r="B252" t="s">
        <v>418</v>
      </c>
      <c r="C252" t="s">
        <v>584</v>
      </c>
    </row>
    <row r="253" spans="1:3" ht="72.5" x14ac:dyDescent="0.35">
      <c r="A253" s="20" t="s">
        <v>614</v>
      </c>
      <c r="B253" t="s">
        <v>418</v>
      </c>
      <c r="C253" s="41" t="s">
        <v>615</v>
      </c>
    </row>
    <row r="254" spans="1:3" x14ac:dyDescent="0.35">
      <c r="A254" s="20" t="s">
        <v>616</v>
      </c>
      <c r="B254" t="s">
        <v>418</v>
      </c>
      <c r="C254" t="s">
        <v>584</v>
      </c>
    </row>
    <row r="255" spans="1:3" ht="72.5" x14ac:dyDescent="0.35">
      <c r="A255" s="20" t="s">
        <v>616</v>
      </c>
      <c r="B255" t="s">
        <v>418</v>
      </c>
      <c r="C255" s="41" t="s">
        <v>617</v>
      </c>
    </row>
    <row r="256" spans="1:3" x14ac:dyDescent="0.35">
      <c r="A256" s="20" t="s">
        <v>618</v>
      </c>
      <c r="B256" t="s">
        <v>418</v>
      </c>
      <c r="C256" t="s">
        <v>584</v>
      </c>
    </row>
    <row r="257" spans="1:3" ht="72.5" x14ac:dyDescent="0.35">
      <c r="A257" s="20" t="s">
        <v>618</v>
      </c>
      <c r="B257" t="s">
        <v>418</v>
      </c>
      <c r="C257" s="41" t="s">
        <v>619</v>
      </c>
    </row>
    <row r="258" spans="1:3" x14ac:dyDescent="0.35">
      <c r="A258" s="20" t="s">
        <v>620</v>
      </c>
      <c r="B258" t="s">
        <v>418</v>
      </c>
      <c r="C258" t="s">
        <v>584</v>
      </c>
    </row>
    <row r="259" spans="1:3" ht="72.5" x14ac:dyDescent="0.35">
      <c r="A259" s="20" t="s">
        <v>621</v>
      </c>
      <c r="B259" t="s">
        <v>418</v>
      </c>
      <c r="C259" s="41" t="s">
        <v>622</v>
      </c>
    </row>
    <row r="260" spans="1:3" x14ac:dyDescent="0.35">
      <c r="A260" s="20" t="s">
        <v>623</v>
      </c>
      <c r="B260" t="s">
        <v>418</v>
      </c>
      <c r="C260" t="s">
        <v>584</v>
      </c>
    </row>
    <row r="261" spans="1:3" ht="72.5" x14ac:dyDescent="0.35">
      <c r="A261" s="20" t="s">
        <v>624</v>
      </c>
      <c r="B261" t="s">
        <v>418</v>
      </c>
      <c r="C261" s="41" t="s">
        <v>625</v>
      </c>
    </row>
    <row r="262" spans="1:3" x14ac:dyDescent="0.35">
      <c r="A262" s="20" t="s">
        <v>626</v>
      </c>
      <c r="B262" t="s">
        <v>83</v>
      </c>
    </row>
    <row r="263" spans="1:3" x14ac:dyDescent="0.35">
      <c r="A263" s="20" t="s">
        <v>627</v>
      </c>
      <c r="B263" t="s">
        <v>106</v>
      </c>
      <c r="C263" t="s">
        <v>628</v>
      </c>
    </row>
    <row r="264" spans="1:3" x14ac:dyDescent="0.35">
      <c r="A264" s="20" t="s">
        <v>627</v>
      </c>
      <c r="B264" t="s">
        <v>106</v>
      </c>
      <c r="C264" t="s">
        <v>629</v>
      </c>
    </row>
    <row r="265" spans="1:3" x14ac:dyDescent="0.35">
      <c r="A265" s="20" t="s">
        <v>627</v>
      </c>
      <c r="B265" t="s">
        <v>90</v>
      </c>
      <c r="C265" t="s">
        <v>113</v>
      </c>
    </row>
    <row r="266" spans="1:3" x14ac:dyDescent="0.35">
      <c r="A266" s="20" t="s">
        <v>630</v>
      </c>
      <c r="B266" t="s">
        <v>91</v>
      </c>
    </row>
    <row r="267" spans="1:3" x14ac:dyDescent="0.35">
      <c r="A267" s="20" t="s">
        <v>631</v>
      </c>
      <c r="B267" t="s">
        <v>91</v>
      </c>
      <c r="C267" t="s">
        <v>114</v>
      </c>
    </row>
    <row r="268" spans="1:3" x14ac:dyDescent="0.35">
      <c r="A268" s="20" t="s">
        <v>631</v>
      </c>
      <c r="B268" t="s">
        <v>91</v>
      </c>
      <c r="C268" t="s">
        <v>115</v>
      </c>
    </row>
    <row r="269" spans="1:3" x14ac:dyDescent="0.35">
      <c r="A269" s="20" t="s">
        <v>631</v>
      </c>
      <c r="B269" t="s">
        <v>91</v>
      </c>
      <c r="C269" t="s">
        <v>92</v>
      </c>
    </row>
    <row r="270" spans="1:3" x14ac:dyDescent="0.35">
      <c r="A270" s="20" t="s">
        <v>631</v>
      </c>
      <c r="B270" t="s">
        <v>91</v>
      </c>
      <c r="C270" t="s">
        <v>93</v>
      </c>
    </row>
    <row r="271" spans="1:3" x14ac:dyDescent="0.35">
      <c r="A271" s="20" t="s">
        <v>633</v>
      </c>
      <c r="B271" t="s">
        <v>91</v>
      </c>
      <c r="C271" t="s">
        <v>116</v>
      </c>
    </row>
    <row r="272" spans="1:3" x14ac:dyDescent="0.35">
      <c r="A272" s="20" t="s">
        <v>633</v>
      </c>
      <c r="B272" t="s">
        <v>106</v>
      </c>
      <c r="C272" t="s">
        <v>107</v>
      </c>
    </row>
    <row r="273" spans="1:3" x14ac:dyDescent="0.35">
      <c r="A273" s="20" t="s">
        <v>633</v>
      </c>
      <c r="B273" t="s">
        <v>83</v>
      </c>
      <c r="C273" t="s">
        <v>634</v>
      </c>
    </row>
    <row r="274" spans="1:3" x14ac:dyDescent="0.35">
      <c r="A274" s="20" t="s">
        <v>635</v>
      </c>
      <c r="B274" t="s">
        <v>418</v>
      </c>
      <c r="C274" t="s">
        <v>584</v>
      </c>
    </row>
    <row r="275" spans="1:3" ht="87" x14ac:dyDescent="0.35">
      <c r="A275" s="20" t="s">
        <v>636</v>
      </c>
      <c r="B275" t="s">
        <v>418</v>
      </c>
      <c r="C275" s="41" t="s">
        <v>637</v>
      </c>
    </row>
    <row r="276" spans="1:3" x14ac:dyDescent="0.35">
      <c r="A276" s="20" t="s">
        <v>638</v>
      </c>
      <c r="B276" t="s">
        <v>418</v>
      </c>
      <c r="C276" t="s">
        <v>584</v>
      </c>
    </row>
    <row r="277" spans="1:3" ht="87" x14ac:dyDescent="0.35">
      <c r="A277" s="20" t="s">
        <v>639</v>
      </c>
      <c r="B277" t="s">
        <v>418</v>
      </c>
      <c r="C277" s="41" t="s">
        <v>640</v>
      </c>
    </row>
    <row r="278" spans="1:3" x14ac:dyDescent="0.35">
      <c r="A278" s="20" t="s">
        <v>641</v>
      </c>
      <c r="B278" t="s">
        <v>418</v>
      </c>
      <c r="C278" t="s">
        <v>584</v>
      </c>
    </row>
    <row r="279" spans="1:3" ht="87" x14ac:dyDescent="0.35">
      <c r="A279" s="20" t="s">
        <v>642</v>
      </c>
      <c r="B279" t="s">
        <v>418</v>
      </c>
      <c r="C279" s="41" t="s">
        <v>643</v>
      </c>
    </row>
    <row r="280" spans="1:3" x14ac:dyDescent="0.35">
      <c r="A280" s="20" t="s">
        <v>644</v>
      </c>
      <c r="B280" t="s">
        <v>418</v>
      </c>
      <c r="C280" t="s">
        <v>584</v>
      </c>
    </row>
    <row r="281" spans="1:3" ht="87" x14ac:dyDescent="0.35">
      <c r="A281" s="20" t="s">
        <v>644</v>
      </c>
      <c r="B281" t="s">
        <v>418</v>
      </c>
      <c r="C281" s="41" t="s">
        <v>645</v>
      </c>
    </row>
    <row r="282" spans="1:3" x14ac:dyDescent="0.35">
      <c r="A282" s="20" t="s">
        <v>646</v>
      </c>
      <c r="B282" t="s">
        <v>418</v>
      </c>
      <c r="C282" t="s">
        <v>584</v>
      </c>
    </row>
    <row r="283" spans="1:3" ht="87" x14ac:dyDescent="0.35">
      <c r="A283" s="20" t="s">
        <v>646</v>
      </c>
      <c r="B283" t="s">
        <v>418</v>
      </c>
      <c r="C283" s="41" t="s">
        <v>647</v>
      </c>
    </row>
    <row r="284" spans="1:3" x14ac:dyDescent="0.35">
      <c r="A284" s="20" t="s">
        <v>648</v>
      </c>
      <c r="B284" t="s">
        <v>418</v>
      </c>
      <c r="C284" t="s">
        <v>596</v>
      </c>
    </row>
    <row r="285" spans="1:3" ht="87" x14ac:dyDescent="0.35">
      <c r="A285" s="20" t="s">
        <v>649</v>
      </c>
      <c r="B285" t="s">
        <v>418</v>
      </c>
      <c r="C285" s="41" t="s">
        <v>650</v>
      </c>
    </row>
    <row r="286" spans="1:3" x14ac:dyDescent="0.35">
      <c r="A286" s="20" t="s">
        <v>651</v>
      </c>
      <c r="B286" t="s">
        <v>418</v>
      </c>
      <c r="C286" t="s">
        <v>596</v>
      </c>
    </row>
    <row r="287" spans="1:3" ht="87" x14ac:dyDescent="0.35">
      <c r="A287" s="20" t="s">
        <v>651</v>
      </c>
      <c r="B287" t="s">
        <v>418</v>
      </c>
      <c r="C287" s="41" t="s">
        <v>652</v>
      </c>
    </row>
    <row r="288" spans="1:3" x14ac:dyDescent="0.35">
      <c r="A288" s="20" t="s">
        <v>653</v>
      </c>
      <c r="B288" t="s">
        <v>418</v>
      </c>
      <c r="C288" t="s">
        <v>596</v>
      </c>
    </row>
    <row r="289" spans="1:3" ht="87" x14ac:dyDescent="0.35">
      <c r="A289" s="20" t="s">
        <v>654</v>
      </c>
      <c r="B289" t="s">
        <v>418</v>
      </c>
      <c r="C289" s="41" t="s">
        <v>655</v>
      </c>
    </row>
    <row r="290" spans="1:3" x14ac:dyDescent="0.35">
      <c r="A290" s="20" t="s">
        <v>656</v>
      </c>
      <c r="B290" t="s">
        <v>418</v>
      </c>
      <c r="C290" t="s">
        <v>596</v>
      </c>
    </row>
    <row r="291" spans="1:3" ht="87" x14ac:dyDescent="0.35">
      <c r="A291" s="20" t="s">
        <v>656</v>
      </c>
      <c r="B291" t="s">
        <v>418</v>
      </c>
      <c r="C291" s="41" t="s">
        <v>657</v>
      </c>
    </row>
    <row r="292" spans="1:3" x14ac:dyDescent="0.35">
      <c r="A292" s="20" t="s">
        <v>658</v>
      </c>
      <c r="B292" t="s">
        <v>418</v>
      </c>
      <c r="C292" t="s">
        <v>596</v>
      </c>
    </row>
    <row r="293" spans="1:3" ht="87" x14ac:dyDescent="0.35">
      <c r="A293" s="20" t="s">
        <v>658</v>
      </c>
      <c r="B293" t="s">
        <v>418</v>
      </c>
      <c r="C293" s="41" t="s">
        <v>659</v>
      </c>
    </row>
    <row r="294" spans="1:3" x14ac:dyDescent="0.35">
      <c r="A294" s="20" t="s">
        <v>660</v>
      </c>
      <c r="B294" t="s">
        <v>418</v>
      </c>
      <c r="C294" t="s">
        <v>661</v>
      </c>
    </row>
    <row r="295" spans="1:3" ht="72.5" x14ac:dyDescent="0.35">
      <c r="A295" s="20" t="s">
        <v>662</v>
      </c>
      <c r="B295" t="s">
        <v>418</v>
      </c>
      <c r="C295" s="41" t="s">
        <v>663</v>
      </c>
    </row>
    <row r="296" spans="1:3" x14ac:dyDescent="0.35">
      <c r="A296" s="20" t="s">
        <v>664</v>
      </c>
      <c r="B296" t="s">
        <v>418</v>
      </c>
      <c r="C296" t="s">
        <v>665</v>
      </c>
    </row>
    <row r="297" spans="1:3" ht="72.5" x14ac:dyDescent="0.35">
      <c r="A297" s="20" t="s">
        <v>666</v>
      </c>
      <c r="B297" t="s">
        <v>418</v>
      </c>
      <c r="C297" s="41" t="s">
        <v>667</v>
      </c>
    </row>
    <row r="298" spans="1:3" x14ac:dyDescent="0.35">
      <c r="A298" s="20" t="s">
        <v>668</v>
      </c>
      <c r="B298" t="s">
        <v>418</v>
      </c>
      <c r="C298" t="s">
        <v>665</v>
      </c>
    </row>
    <row r="299" spans="1:3" ht="72.5" x14ac:dyDescent="0.35">
      <c r="A299" s="20" t="s">
        <v>669</v>
      </c>
      <c r="B299" t="s">
        <v>418</v>
      </c>
      <c r="C299" s="41" t="s">
        <v>670</v>
      </c>
    </row>
    <row r="300" spans="1:3" x14ac:dyDescent="0.35">
      <c r="A300" s="20" t="s">
        <v>671</v>
      </c>
      <c r="B300" t="s">
        <v>418</v>
      </c>
      <c r="C300" t="s">
        <v>665</v>
      </c>
    </row>
    <row r="301" spans="1:3" ht="72.5" x14ac:dyDescent="0.35">
      <c r="A301" s="20" t="s">
        <v>672</v>
      </c>
      <c r="B301" t="s">
        <v>418</v>
      </c>
      <c r="C301" s="41" t="s">
        <v>673</v>
      </c>
    </row>
    <row r="302" spans="1:3" x14ac:dyDescent="0.35">
      <c r="A302" s="20" t="s">
        <v>674</v>
      </c>
      <c r="B302" t="s">
        <v>83</v>
      </c>
    </row>
    <row r="303" spans="1:3" x14ac:dyDescent="0.35">
      <c r="A303" s="20" t="s">
        <v>674</v>
      </c>
      <c r="B303" t="s">
        <v>106</v>
      </c>
      <c r="C303" t="s">
        <v>675</v>
      </c>
    </row>
    <row r="304" spans="1:3" x14ac:dyDescent="0.35">
      <c r="A304" s="20" t="s">
        <v>674</v>
      </c>
      <c r="B304" t="s">
        <v>106</v>
      </c>
      <c r="C304" t="s">
        <v>676</v>
      </c>
    </row>
    <row r="305" spans="1:3" x14ac:dyDescent="0.35">
      <c r="A305" s="20" t="s">
        <v>674</v>
      </c>
      <c r="B305" t="s">
        <v>90</v>
      </c>
      <c r="C305" t="s">
        <v>113</v>
      </c>
    </row>
    <row r="306" spans="1:3" x14ac:dyDescent="0.35">
      <c r="A306" s="20" t="s">
        <v>677</v>
      </c>
      <c r="B306" t="s">
        <v>91</v>
      </c>
    </row>
    <row r="307" spans="1:3" ht="43.5" x14ac:dyDescent="0.35">
      <c r="A307" s="20" t="s">
        <v>678</v>
      </c>
      <c r="B307" t="s">
        <v>91</v>
      </c>
      <c r="C307" s="41" t="s">
        <v>679</v>
      </c>
    </row>
    <row r="308" spans="1:3" ht="43.5" x14ac:dyDescent="0.35">
      <c r="A308" s="20" t="s">
        <v>680</v>
      </c>
      <c r="B308" t="s">
        <v>91</v>
      </c>
      <c r="C308" s="41" t="s">
        <v>681</v>
      </c>
    </row>
    <row r="309" spans="1:3" x14ac:dyDescent="0.35">
      <c r="A309" s="20" t="s">
        <v>680</v>
      </c>
      <c r="B309" t="s">
        <v>106</v>
      </c>
      <c r="C309" t="s">
        <v>682</v>
      </c>
    </row>
    <row r="310" spans="1:3" x14ac:dyDescent="0.35">
      <c r="A310" s="20" t="s">
        <v>680</v>
      </c>
      <c r="B310" t="s">
        <v>83</v>
      </c>
      <c r="C310" t="s">
        <v>683</v>
      </c>
    </row>
    <row r="311" spans="1:3" x14ac:dyDescent="0.35">
      <c r="A311" s="20" t="s">
        <v>684</v>
      </c>
      <c r="B311" t="s">
        <v>83</v>
      </c>
    </row>
    <row r="312" spans="1:3" x14ac:dyDescent="0.35">
      <c r="A312" s="20" t="s">
        <v>684</v>
      </c>
      <c r="B312" t="s">
        <v>106</v>
      </c>
      <c r="C312" t="s">
        <v>675</v>
      </c>
    </row>
    <row r="313" spans="1:3" x14ac:dyDescent="0.35">
      <c r="A313" s="20" t="s">
        <v>684</v>
      </c>
      <c r="B313" t="s">
        <v>106</v>
      </c>
      <c r="C313" t="s">
        <v>676</v>
      </c>
    </row>
    <row r="314" spans="1:3" x14ac:dyDescent="0.35">
      <c r="A314" s="20" t="s">
        <v>684</v>
      </c>
      <c r="B314" t="s">
        <v>90</v>
      </c>
      <c r="C314" t="s">
        <v>113</v>
      </c>
    </row>
    <row r="315" spans="1:3" x14ac:dyDescent="0.35">
      <c r="A315" s="20" t="s">
        <v>685</v>
      </c>
      <c r="B315" t="s">
        <v>91</v>
      </c>
    </row>
    <row r="316" spans="1:3" x14ac:dyDescent="0.35">
      <c r="A316" s="20" t="s">
        <v>685</v>
      </c>
      <c r="B316" t="s">
        <v>91</v>
      </c>
      <c r="C316" t="s">
        <v>114</v>
      </c>
    </row>
    <row r="317" spans="1:3" x14ac:dyDescent="0.35">
      <c r="A317" s="20" t="s">
        <v>685</v>
      </c>
      <c r="B317" t="s">
        <v>91</v>
      </c>
      <c r="C317" t="s">
        <v>115</v>
      </c>
    </row>
    <row r="318" spans="1:3" x14ac:dyDescent="0.35">
      <c r="A318" s="20" t="s">
        <v>685</v>
      </c>
      <c r="B318" t="s">
        <v>91</v>
      </c>
      <c r="C318" t="s">
        <v>92</v>
      </c>
    </row>
    <row r="319" spans="1:3" x14ac:dyDescent="0.35">
      <c r="A319" s="20" t="s">
        <v>686</v>
      </c>
      <c r="B319" t="s">
        <v>91</v>
      </c>
      <c r="C319" t="s">
        <v>93</v>
      </c>
    </row>
    <row r="320" spans="1:3" x14ac:dyDescent="0.35">
      <c r="A320" s="20" t="s">
        <v>686</v>
      </c>
      <c r="B320" t="s">
        <v>91</v>
      </c>
      <c r="C320" t="s">
        <v>116</v>
      </c>
    </row>
    <row r="321" spans="1:3" x14ac:dyDescent="0.35">
      <c r="A321" s="20" t="s">
        <v>686</v>
      </c>
      <c r="B321" t="s">
        <v>106</v>
      </c>
      <c r="C321" t="s">
        <v>107</v>
      </c>
    </row>
    <row r="322" spans="1:3" x14ac:dyDescent="0.35">
      <c r="A322" s="20" t="s">
        <v>686</v>
      </c>
      <c r="B322" t="s">
        <v>83</v>
      </c>
      <c r="C322" t="s">
        <v>683</v>
      </c>
    </row>
    <row r="323" spans="1:3" x14ac:dyDescent="0.35">
      <c r="A323" s="20" t="s">
        <v>689</v>
      </c>
      <c r="B323" t="s">
        <v>690</v>
      </c>
    </row>
    <row r="324" spans="1:3" x14ac:dyDescent="0.35">
      <c r="A324" s="20" t="s">
        <v>689</v>
      </c>
      <c r="B324" t="s">
        <v>690</v>
      </c>
      <c r="C324" t="s">
        <v>691</v>
      </c>
    </row>
    <row r="325" spans="1:3" x14ac:dyDescent="0.35">
      <c r="A325" s="20" t="s">
        <v>689</v>
      </c>
      <c r="B325" t="s">
        <v>690</v>
      </c>
      <c r="C325" t="s">
        <v>692</v>
      </c>
    </row>
    <row r="326" spans="1:3" x14ac:dyDescent="0.35">
      <c r="A326" s="20" t="s">
        <v>689</v>
      </c>
      <c r="B326" t="s">
        <v>690</v>
      </c>
      <c r="C326" t="s">
        <v>693</v>
      </c>
    </row>
    <row r="327" spans="1:3" x14ac:dyDescent="0.35">
      <c r="A327" s="20" t="s">
        <v>694</v>
      </c>
      <c r="B327" t="s">
        <v>690</v>
      </c>
      <c r="C327" t="s">
        <v>695</v>
      </c>
    </row>
    <row r="328" spans="1:3" ht="87" x14ac:dyDescent="0.35">
      <c r="A328" s="20" t="s">
        <v>694</v>
      </c>
      <c r="B328" t="s">
        <v>690</v>
      </c>
      <c r="C328" s="41" t="s">
        <v>696</v>
      </c>
    </row>
    <row r="329" spans="1:3" x14ac:dyDescent="0.35">
      <c r="A329" s="20" t="s">
        <v>697</v>
      </c>
      <c r="B329" t="s">
        <v>690</v>
      </c>
    </row>
    <row r="330" spans="1:3" x14ac:dyDescent="0.35">
      <c r="A330" s="20" t="s">
        <v>697</v>
      </c>
      <c r="B330" t="s">
        <v>690</v>
      </c>
      <c r="C330" t="s">
        <v>698</v>
      </c>
    </row>
    <row r="331" spans="1:3" x14ac:dyDescent="0.35">
      <c r="A331" s="20" t="s">
        <v>697</v>
      </c>
      <c r="B331" t="s">
        <v>690</v>
      </c>
      <c r="C331" t="s">
        <v>691</v>
      </c>
    </row>
    <row r="332" spans="1:3" x14ac:dyDescent="0.35">
      <c r="A332" s="20" t="s">
        <v>697</v>
      </c>
      <c r="B332" t="s">
        <v>690</v>
      </c>
      <c r="C332" t="s">
        <v>692</v>
      </c>
    </row>
    <row r="333" spans="1:3" x14ac:dyDescent="0.35">
      <c r="A333" s="20" t="s">
        <v>697</v>
      </c>
      <c r="B333" t="s">
        <v>690</v>
      </c>
      <c r="C333" t="s">
        <v>699</v>
      </c>
    </row>
    <row r="334" spans="1:3" x14ac:dyDescent="0.35">
      <c r="A334" s="20" t="s">
        <v>697</v>
      </c>
      <c r="B334" t="s">
        <v>690</v>
      </c>
      <c r="C334" t="s">
        <v>700</v>
      </c>
    </row>
    <row r="335" spans="1:3" x14ac:dyDescent="0.35">
      <c r="A335" s="20" t="s">
        <v>697</v>
      </c>
      <c r="B335" t="s">
        <v>690</v>
      </c>
      <c r="C335" t="s">
        <v>701</v>
      </c>
    </row>
    <row r="336" spans="1:3" x14ac:dyDescent="0.35">
      <c r="A336" s="20" t="s">
        <v>697</v>
      </c>
      <c r="B336" t="s">
        <v>690</v>
      </c>
      <c r="C336" t="s">
        <v>702</v>
      </c>
    </row>
    <row r="337" spans="1:3" ht="87" x14ac:dyDescent="0.35">
      <c r="A337" s="20" t="s">
        <v>703</v>
      </c>
      <c r="B337" t="s">
        <v>690</v>
      </c>
      <c r="C337" s="41" t="s">
        <v>704</v>
      </c>
    </row>
    <row r="338" spans="1:3" x14ac:dyDescent="0.35">
      <c r="A338" s="20" t="s">
        <v>706</v>
      </c>
      <c r="B338" t="s">
        <v>690</v>
      </c>
    </row>
    <row r="339" spans="1:3" x14ac:dyDescent="0.35">
      <c r="A339" s="20" t="s">
        <v>706</v>
      </c>
      <c r="B339" t="s">
        <v>690</v>
      </c>
      <c r="C339" t="s">
        <v>698</v>
      </c>
    </row>
    <row r="340" spans="1:3" x14ac:dyDescent="0.35">
      <c r="A340" s="20" t="s">
        <v>706</v>
      </c>
      <c r="B340" t="s">
        <v>690</v>
      </c>
      <c r="C340" t="s">
        <v>691</v>
      </c>
    </row>
    <row r="341" spans="1:3" x14ac:dyDescent="0.35">
      <c r="A341" s="20" t="s">
        <v>706</v>
      </c>
      <c r="B341" t="s">
        <v>690</v>
      </c>
      <c r="C341" t="s">
        <v>692</v>
      </c>
    </row>
    <row r="342" spans="1:3" x14ac:dyDescent="0.35">
      <c r="A342" s="20" t="s">
        <v>706</v>
      </c>
      <c r="B342" t="s">
        <v>690</v>
      </c>
      <c r="C342" t="s">
        <v>699</v>
      </c>
    </row>
    <row r="343" spans="1:3" x14ac:dyDescent="0.35">
      <c r="A343" s="20" t="s">
        <v>706</v>
      </c>
      <c r="B343" t="s">
        <v>690</v>
      </c>
      <c r="C343" t="s">
        <v>700</v>
      </c>
    </row>
    <row r="344" spans="1:3" x14ac:dyDescent="0.35">
      <c r="A344" s="20" t="s">
        <v>706</v>
      </c>
      <c r="B344" t="s">
        <v>690</v>
      </c>
      <c r="C344" t="s">
        <v>701</v>
      </c>
    </row>
    <row r="345" spans="1:3" x14ac:dyDescent="0.35">
      <c r="A345" s="20" t="s">
        <v>706</v>
      </c>
      <c r="B345" t="s">
        <v>690</v>
      </c>
      <c r="C345" t="s">
        <v>702</v>
      </c>
    </row>
    <row r="346" spans="1:3" ht="87" x14ac:dyDescent="0.35">
      <c r="A346" s="20" t="s">
        <v>706</v>
      </c>
      <c r="B346" t="s">
        <v>690</v>
      </c>
      <c r="C346" s="41" t="s">
        <v>704</v>
      </c>
    </row>
    <row r="347" spans="1:3" x14ac:dyDescent="0.35">
      <c r="A347" s="20" t="s">
        <v>708</v>
      </c>
      <c r="B347" t="s">
        <v>709</v>
      </c>
    </row>
    <row r="348" spans="1:3" x14ac:dyDescent="0.35">
      <c r="A348" s="20" t="s">
        <v>710</v>
      </c>
      <c r="B348" t="s">
        <v>709</v>
      </c>
    </row>
    <row r="349" spans="1:3" x14ac:dyDescent="0.35">
      <c r="A349" s="20" t="s">
        <v>710</v>
      </c>
      <c r="B349" t="s">
        <v>709</v>
      </c>
      <c r="C349" t="s">
        <v>711</v>
      </c>
    </row>
    <row r="350" spans="1:3" x14ac:dyDescent="0.35">
      <c r="A350" s="20" t="s">
        <v>710</v>
      </c>
      <c r="B350" t="s">
        <v>709</v>
      </c>
      <c r="C350" t="s">
        <v>712</v>
      </c>
    </row>
    <row r="351" spans="1:3" x14ac:dyDescent="0.35">
      <c r="A351" s="20" t="s">
        <v>710</v>
      </c>
      <c r="B351" t="s">
        <v>709</v>
      </c>
      <c r="C351" t="s">
        <v>713</v>
      </c>
    </row>
    <row r="352" spans="1:3" x14ac:dyDescent="0.35">
      <c r="A352" s="20" t="s">
        <v>714</v>
      </c>
      <c r="B352" t="s">
        <v>709</v>
      </c>
      <c r="C352" t="s">
        <v>715</v>
      </c>
    </row>
    <row r="353" spans="1:3" x14ac:dyDescent="0.35">
      <c r="A353" s="20" t="s">
        <v>714</v>
      </c>
      <c r="B353" t="s">
        <v>709</v>
      </c>
      <c r="C353" t="s">
        <v>716</v>
      </c>
    </row>
    <row r="354" spans="1:3" x14ac:dyDescent="0.35">
      <c r="A354" s="20" t="s">
        <v>714</v>
      </c>
      <c r="B354" t="s">
        <v>709</v>
      </c>
      <c r="C354" t="s">
        <v>717</v>
      </c>
    </row>
    <row r="355" spans="1:3" x14ac:dyDescent="0.35">
      <c r="A355" s="20" t="s">
        <v>718</v>
      </c>
      <c r="B355" t="s">
        <v>709</v>
      </c>
    </row>
    <row r="356" spans="1:3" x14ac:dyDescent="0.35">
      <c r="A356" s="20" t="s">
        <v>718</v>
      </c>
      <c r="B356" t="s">
        <v>709</v>
      </c>
      <c r="C356" t="s">
        <v>719</v>
      </c>
    </row>
    <row r="357" spans="1:3" x14ac:dyDescent="0.35">
      <c r="A357" s="20" t="s">
        <v>718</v>
      </c>
      <c r="B357" t="s">
        <v>709</v>
      </c>
      <c r="C357" t="s">
        <v>720</v>
      </c>
    </row>
    <row r="358" spans="1:3" x14ac:dyDescent="0.35">
      <c r="A358" s="20" t="s">
        <v>718</v>
      </c>
      <c r="B358" t="s">
        <v>709</v>
      </c>
      <c r="C358" t="s">
        <v>721</v>
      </c>
    </row>
    <row r="359" spans="1:3" x14ac:dyDescent="0.35">
      <c r="A359" s="20" t="s">
        <v>718</v>
      </c>
      <c r="B359" t="s">
        <v>709</v>
      </c>
      <c r="C359" t="s">
        <v>722</v>
      </c>
    </row>
    <row r="360" spans="1:3" x14ac:dyDescent="0.35">
      <c r="A360" s="20" t="s">
        <v>718</v>
      </c>
      <c r="B360" t="s">
        <v>709</v>
      </c>
      <c r="C360" t="s">
        <v>723</v>
      </c>
    </row>
    <row r="361" spans="1:3" x14ac:dyDescent="0.35">
      <c r="A361" s="20" t="s">
        <v>718</v>
      </c>
      <c r="B361" t="s">
        <v>709</v>
      </c>
      <c r="C361" t="s">
        <v>724</v>
      </c>
    </row>
    <row r="362" spans="1:3" x14ac:dyDescent="0.35">
      <c r="A362" s="20" t="s">
        <v>725</v>
      </c>
      <c r="B362" t="s">
        <v>709</v>
      </c>
    </row>
    <row r="363" spans="1:3" x14ac:dyDescent="0.35">
      <c r="A363" s="20" t="s">
        <v>725</v>
      </c>
      <c r="B363" t="s">
        <v>709</v>
      </c>
      <c r="C363" t="s">
        <v>726</v>
      </c>
    </row>
    <row r="364" spans="1:3" x14ac:dyDescent="0.35">
      <c r="A364" s="20" t="s">
        <v>725</v>
      </c>
      <c r="B364" t="s">
        <v>709</v>
      </c>
      <c r="C364" t="s">
        <v>727</v>
      </c>
    </row>
    <row r="365" spans="1:3" x14ac:dyDescent="0.35">
      <c r="A365" s="20" t="s">
        <v>725</v>
      </c>
      <c r="B365" t="s">
        <v>709</v>
      </c>
      <c r="C365" t="s">
        <v>728</v>
      </c>
    </row>
    <row r="366" spans="1:3" x14ac:dyDescent="0.35">
      <c r="A366" s="20" t="s">
        <v>725</v>
      </c>
      <c r="B366" t="s">
        <v>709</v>
      </c>
      <c r="C366" t="s">
        <v>729</v>
      </c>
    </row>
    <row r="367" spans="1:3" x14ac:dyDescent="0.35">
      <c r="A367" s="20" t="s">
        <v>725</v>
      </c>
      <c r="B367" t="s">
        <v>709</v>
      </c>
      <c r="C367" t="s">
        <v>730</v>
      </c>
    </row>
    <row r="368" spans="1:3" x14ac:dyDescent="0.35">
      <c r="A368" s="20" t="s">
        <v>725</v>
      </c>
      <c r="B368" t="s">
        <v>709</v>
      </c>
      <c r="C368" t="s">
        <v>731</v>
      </c>
    </row>
    <row r="369" spans="1:3" x14ac:dyDescent="0.35">
      <c r="A369" s="20" t="s">
        <v>732</v>
      </c>
      <c r="B369" t="s">
        <v>709</v>
      </c>
    </row>
    <row r="370" spans="1:3" x14ac:dyDescent="0.35">
      <c r="A370" s="20" t="s">
        <v>732</v>
      </c>
      <c r="B370" t="s">
        <v>709</v>
      </c>
      <c r="C370" t="s">
        <v>733</v>
      </c>
    </row>
    <row r="371" spans="1:3" x14ac:dyDescent="0.35">
      <c r="A371" s="20" t="s">
        <v>732</v>
      </c>
      <c r="B371" t="s">
        <v>709</v>
      </c>
      <c r="C371" t="s">
        <v>734</v>
      </c>
    </row>
    <row r="372" spans="1:3" x14ac:dyDescent="0.35">
      <c r="A372" s="20" t="s">
        <v>732</v>
      </c>
      <c r="B372" t="s">
        <v>709</v>
      </c>
      <c r="C372" t="s">
        <v>735</v>
      </c>
    </row>
    <row r="373" spans="1:3" x14ac:dyDescent="0.35">
      <c r="A373" s="20" t="s">
        <v>732</v>
      </c>
      <c r="B373" t="s">
        <v>709</v>
      </c>
      <c r="C373" t="s">
        <v>736</v>
      </c>
    </row>
    <row r="374" spans="1:3" x14ac:dyDescent="0.35">
      <c r="A374" s="20" t="s">
        <v>732</v>
      </c>
      <c r="B374" t="s">
        <v>709</v>
      </c>
      <c r="C374" t="s">
        <v>737</v>
      </c>
    </row>
    <row r="375" spans="1:3" x14ac:dyDescent="0.35">
      <c r="A375" s="20" t="s">
        <v>738</v>
      </c>
      <c r="B375" t="s">
        <v>690</v>
      </c>
    </row>
    <row r="376" spans="1:3" x14ac:dyDescent="0.35">
      <c r="A376" s="20" t="s">
        <v>738</v>
      </c>
      <c r="B376" t="s">
        <v>690</v>
      </c>
      <c r="C376" t="s">
        <v>698</v>
      </c>
    </row>
    <row r="377" spans="1:3" x14ac:dyDescent="0.35">
      <c r="A377" s="20" t="s">
        <v>738</v>
      </c>
      <c r="B377" t="s">
        <v>690</v>
      </c>
      <c r="C377" t="s">
        <v>691</v>
      </c>
    </row>
    <row r="378" spans="1:3" x14ac:dyDescent="0.35">
      <c r="A378" s="20" t="s">
        <v>738</v>
      </c>
      <c r="B378" t="s">
        <v>690</v>
      </c>
      <c r="C378" t="s">
        <v>692</v>
      </c>
    </row>
    <row r="379" spans="1:3" x14ac:dyDescent="0.35">
      <c r="A379" s="20" t="s">
        <v>738</v>
      </c>
      <c r="B379" t="s">
        <v>690</v>
      </c>
      <c r="C379" t="s">
        <v>699</v>
      </c>
    </row>
    <row r="380" spans="1:3" x14ac:dyDescent="0.35">
      <c r="A380" s="20" t="s">
        <v>738</v>
      </c>
      <c r="B380" t="s">
        <v>690</v>
      </c>
      <c r="C380" t="s">
        <v>700</v>
      </c>
    </row>
    <row r="381" spans="1:3" x14ac:dyDescent="0.35">
      <c r="A381" s="20" t="s">
        <v>738</v>
      </c>
      <c r="B381" t="s">
        <v>690</v>
      </c>
      <c r="C381" t="s">
        <v>701</v>
      </c>
    </row>
    <row r="382" spans="1:3" x14ac:dyDescent="0.35">
      <c r="A382" s="20" t="s">
        <v>738</v>
      </c>
      <c r="B382" t="s">
        <v>690</v>
      </c>
      <c r="C382" t="s">
        <v>702</v>
      </c>
    </row>
    <row r="383" spans="1:3" ht="87" x14ac:dyDescent="0.35">
      <c r="A383" s="20" t="s">
        <v>738</v>
      </c>
      <c r="B383" t="s">
        <v>690</v>
      </c>
      <c r="C383" s="41" t="s">
        <v>704</v>
      </c>
    </row>
    <row r="384" spans="1:3" x14ac:dyDescent="0.35">
      <c r="A384" s="20" t="s">
        <v>739</v>
      </c>
      <c r="B384" t="s">
        <v>418</v>
      </c>
      <c r="C384" t="s">
        <v>584</v>
      </c>
    </row>
    <row r="385" spans="1:3" ht="72.5" x14ac:dyDescent="0.35">
      <c r="A385" s="20" t="s">
        <v>739</v>
      </c>
      <c r="B385" t="s">
        <v>418</v>
      </c>
      <c r="C385" s="41" t="s">
        <v>740</v>
      </c>
    </row>
    <row r="386" spans="1:3" x14ac:dyDescent="0.35">
      <c r="A386" s="20" t="s">
        <v>743</v>
      </c>
      <c r="B386" t="s">
        <v>106</v>
      </c>
      <c r="C386" t="s">
        <v>744</v>
      </c>
    </row>
    <row r="387" spans="1:3" x14ac:dyDescent="0.35">
      <c r="A387" s="20" t="s">
        <v>745</v>
      </c>
      <c r="B387" t="s">
        <v>106</v>
      </c>
      <c r="C387" t="s">
        <v>746</v>
      </c>
    </row>
    <row r="388" spans="1:3" x14ac:dyDescent="0.35">
      <c r="A388" s="20" t="s">
        <v>747</v>
      </c>
      <c r="B388" t="s">
        <v>106</v>
      </c>
      <c r="C388" t="s">
        <v>744</v>
      </c>
    </row>
    <row r="389" spans="1:3" x14ac:dyDescent="0.35">
      <c r="A389" s="20" t="s">
        <v>747</v>
      </c>
      <c r="B389" t="s">
        <v>106</v>
      </c>
      <c r="C389" t="s">
        <v>748</v>
      </c>
    </row>
    <row r="390" spans="1:3" x14ac:dyDescent="0.35">
      <c r="A390" s="20" t="s">
        <v>749</v>
      </c>
      <c r="B390" t="s">
        <v>106</v>
      </c>
      <c r="C390" t="s">
        <v>744</v>
      </c>
    </row>
    <row r="391" spans="1:3" x14ac:dyDescent="0.35">
      <c r="A391" s="20" t="s">
        <v>750</v>
      </c>
      <c r="B391" t="s">
        <v>106</v>
      </c>
      <c r="C391" t="s">
        <v>748</v>
      </c>
    </row>
    <row r="392" spans="1:3" x14ac:dyDescent="0.35">
      <c r="A392" s="20" t="s">
        <v>751</v>
      </c>
      <c r="B392" t="s">
        <v>106</v>
      </c>
      <c r="C392" t="s">
        <v>744</v>
      </c>
    </row>
    <row r="393" spans="1:3" x14ac:dyDescent="0.35">
      <c r="A393" s="20" t="s">
        <v>751</v>
      </c>
      <c r="B393" t="s">
        <v>106</v>
      </c>
      <c r="C393" t="s">
        <v>752</v>
      </c>
    </row>
    <row r="394" spans="1:3" x14ac:dyDescent="0.35">
      <c r="A394" s="20" t="s">
        <v>753</v>
      </c>
      <c r="B394" t="s">
        <v>690</v>
      </c>
    </row>
    <row r="395" spans="1:3" x14ac:dyDescent="0.35">
      <c r="A395" s="20" t="s">
        <v>753</v>
      </c>
      <c r="B395" t="s">
        <v>690</v>
      </c>
      <c r="C395" t="s">
        <v>698</v>
      </c>
    </row>
    <row r="396" spans="1:3" x14ac:dyDescent="0.35">
      <c r="A396" s="20" t="s">
        <v>753</v>
      </c>
      <c r="B396" t="s">
        <v>690</v>
      </c>
      <c r="C396" t="s">
        <v>754</v>
      </c>
    </row>
    <row r="397" spans="1:3" x14ac:dyDescent="0.35">
      <c r="A397" s="20" t="s">
        <v>753</v>
      </c>
      <c r="B397" t="s">
        <v>690</v>
      </c>
      <c r="C397" t="s">
        <v>755</v>
      </c>
    </row>
    <row r="398" spans="1:3" x14ac:dyDescent="0.35">
      <c r="A398" s="20" t="s">
        <v>753</v>
      </c>
      <c r="B398" t="s">
        <v>690</v>
      </c>
      <c r="C398" t="s">
        <v>756</v>
      </c>
    </row>
    <row r="399" spans="1:3" x14ac:dyDescent="0.35">
      <c r="A399" s="20" t="s">
        <v>753</v>
      </c>
      <c r="B399" t="s">
        <v>690</v>
      </c>
      <c r="C399" t="s">
        <v>693</v>
      </c>
    </row>
    <row r="400" spans="1:3" x14ac:dyDescent="0.35">
      <c r="A400" s="20" t="s">
        <v>757</v>
      </c>
      <c r="B400" t="s">
        <v>690</v>
      </c>
      <c r="C400" t="s">
        <v>758</v>
      </c>
    </row>
    <row r="401" spans="1:3" ht="87" x14ac:dyDescent="0.35">
      <c r="A401" s="20" t="s">
        <v>757</v>
      </c>
      <c r="B401" t="s">
        <v>690</v>
      </c>
      <c r="C401" s="41" t="s">
        <v>759</v>
      </c>
    </row>
    <row r="402" spans="1:3" x14ac:dyDescent="0.35">
      <c r="A402" s="20" t="s">
        <v>760</v>
      </c>
      <c r="B402" t="s">
        <v>709</v>
      </c>
    </row>
    <row r="403" spans="1:3" x14ac:dyDescent="0.35">
      <c r="A403" s="20" t="s">
        <v>760</v>
      </c>
      <c r="B403" t="s">
        <v>709</v>
      </c>
      <c r="C403" t="s">
        <v>761</v>
      </c>
    </row>
    <row r="404" spans="1:3" x14ac:dyDescent="0.35">
      <c r="A404" s="20" t="s">
        <v>760</v>
      </c>
      <c r="B404" t="s">
        <v>709</v>
      </c>
      <c r="C404" t="s">
        <v>762</v>
      </c>
    </row>
    <row r="405" spans="1:3" x14ac:dyDescent="0.35">
      <c r="A405" s="20" t="s">
        <v>760</v>
      </c>
      <c r="B405" t="s">
        <v>709</v>
      </c>
      <c r="C405" t="s">
        <v>763</v>
      </c>
    </row>
    <row r="406" spans="1:3" x14ac:dyDescent="0.35">
      <c r="A406" s="20" t="s">
        <v>764</v>
      </c>
      <c r="B406" t="s">
        <v>709</v>
      </c>
      <c r="C406" t="s">
        <v>765</v>
      </c>
    </row>
    <row r="407" spans="1:3" x14ac:dyDescent="0.35">
      <c r="A407" s="20" t="s">
        <v>764</v>
      </c>
      <c r="B407" t="s">
        <v>709</v>
      </c>
      <c r="C407" t="s">
        <v>766</v>
      </c>
    </row>
    <row r="408" spans="1:3" x14ac:dyDescent="0.35">
      <c r="A408" s="20" t="s">
        <v>767</v>
      </c>
      <c r="B408" t="s">
        <v>709</v>
      </c>
    </row>
    <row r="409" spans="1:3" x14ac:dyDescent="0.35">
      <c r="A409" s="20" t="s">
        <v>767</v>
      </c>
      <c r="B409" t="s">
        <v>709</v>
      </c>
      <c r="C409" t="s">
        <v>768</v>
      </c>
    </row>
    <row r="410" spans="1:3" x14ac:dyDescent="0.35">
      <c r="A410" s="20" t="s">
        <v>767</v>
      </c>
      <c r="B410" t="s">
        <v>709</v>
      </c>
      <c r="C410" t="s">
        <v>769</v>
      </c>
    </row>
    <row r="411" spans="1:3" x14ac:dyDescent="0.35">
      <c r="A411" s="20" t="s">
        <v>767</v>
      </c>
      <c r="B411" t="s">
        <v>709</v>
      </c>
      <c r="C411" t="s">
        <v>770</v>
      </c>
    </row>
    <row r="412" spans="1:3" x14ac:dyDescent="0.35">
      <c r="A412" s="20" t="s">
        <v>767</v>
      </c>
      <c r="B412" t="s">
        <v>709</v>
      </c>
      <c r="C412" t="s">
        <v>771</v>
      </c>
    </row>
    <row r="413" spans="1:3" x14ac:dyDescent="0.35">
      <c r="A413" s="20" t="s">
        <v>767</v>
      </c>
      <c r="B413" t="s">
        <v>709</v>
      </c>
      <c r="C413" t="s">
        <v>766</v>
      </c>
    </row>
    <row r="414" spans="1:3" x14ac:dyDescent="0.35">
      <c r="A414" s="20" t="s">
        <v>767</v>
      </c>
      <c r="B414" t="s">
        <v>709</v>
      </c>
      <c r="C414" t="s">
        <v>772</v>
      </c>
    </row>
    <row r="415" spans="1:3" x14ac:dyDescent="0.35">
      <c r="A415" s="20" t="s">
        <v>773</v>
      </c>
      <c r="B415" t="s">
        <v>709</v>
      </c>
      <c r="C415" t="s">
        <v>774</v>
      </c>
    </row>
    <row r="416" spans="1:3" x14ac:dyDescent="0.35">
      <c r="A416" s="20" t="s">
        <v>773</v>
      </c>
      <c r="B416" t="s">
        <v>709</v>
      </c>
      <c r="C416" t="s">
        <v>775</v>
      </c>
    </row>
    <row r="417" spans="1:3" x14ac:dyDescent="0.35">
      <c r="A417" s="20" t="s">
        <v>773</v>
      </c>
      <c r="B417" t="s">
        <v>709</v>
      </c>
      <c r="C417" t="s">
        <v>776</v>
      </c>
    </row>
    <row r="418" spans="1:3" x14ac:dyDescent="0.35">
      <c r="A418" s="20" t="s">
        <v>777</v>
      </c>
      <c r="B418" t="s">
        <v>106</v>
      </c>
      <c r="C418" t="s">
        <v>778</v>
      </c>
    </row>
    <row r="419" spans="1:3" x14ac:dyDescent="0.35">
      <c r="A419" s="20" t="s">
        <v>779</v>
      </c>
      <c r="B419" t="s">
        <v>709</v>
      </c>
    </row>
    <row r="420" spans="1:3" x14ac:dyDescent="0.35">
      <c r="A420" s="20" t="s">
        <v>779</v>
      </c>
      <c r="B420" t="s">
        <v>709</v>
      </c>
      <c r="C420" t="s">
        <v>780</v>
      </c>
    </row>
    <row r="421" spans="1:3" x14ac:dyDescent="0.35">
      <c r="A421" s="20" t="s">
        <v>779</v>
      </c>
      <c r="B421" t="s">
        <v>709</v>
      </c>
      <c r="C421" t="s">
        <v>781</v>
      </c>
    </row>
    <row r="422" spans="1:3" x14ac:dyDescent="0.35">
      <c r="A422" s="20" t="s">
        <v>779</v>
      </c>
      <c r="B422" t="s">
        <v>709</v>
      </c>
      <c r="C422" t="s">
        <v>782</v>
      </c>
    </row>
    <row r="423" spans="1:3" x14ac:dyDescent="0.35">
      <c r="A423" s="20" t="s">
        <v>783</v>
      </c>
      <c r="B423" t="s">
        <v>709</v>
      </c>
      <c r="C423" t="s">
        <v>784</v>
      </c>
    </row>
    <row r="424" spans="1:3" x14ac:dyDescent="0.35">
      <c r="A424" s="20" t="s">
        <v>783</v>
      </c>
      <c r="B424" t="s">
        <v>709</v>
      </c>
      <c r="C424" t="s">
        <v>785</v>
      </c>
    </row>
    <row r="425" spans="1:3" x14ac:dyDescent="0.35">
      <c r="A425" s="20" t="s">
        <v>783</v>
      </c>
      <c r="B425" t="s">
        <v>709</v>
      </c>
      <c r="C425" t="s">
        <v>786</v>
      </c>
    </row>
    <row r="426" spans="1:3" x14ac:dyDescent="0.35">
      <c r="A426" s="20" t="s">
        <v>783</v>
      </c>
      <c r="B426" t="s">
        <v>709</v>
      </c>
      <c r="C426" t="s">
        <v>787</v>
      </c>
    </row>
    <row r="427" spans="1:3" x14ac:dyDescent="0.35">
      <c r="A427" s="20" t="s">
        <v>783</v>
      </c>
      <c r="B427" t="s">
        <v>709</v>
      </c>
      <c r="C427" t="s">
        <v>788</v>
      </c>
    </row>
    <row r="428" spans="1:3" x14ac:dyDescent="0.35">
      <c r="A428" s="20" t="s">
        <v>783</v>
      </c>
      <c r="B428" t="s">
        <v>709</v>
      </c>
      <c r="C428" t="s">
        <v>789</v>
      </c>
    </row>
    <row r="429" spans="1:3" x14ac:dyDescent="0.35">
      <c r="A429" s="20" t="s">
        <v>783</v>
      </c>
      <c r="B429" t="s">
        <v>709</v>
      </c>
      <c r="C429" t="s">
        <v>790</v>
      </c>
    </row>
    <row r="430" spans="1:3" x14ac:dyDescent="0.35">
      <c r="A430" s="20" t="s">
        <v>783</v>
      </c>
      <c r="B430" t="s">
        <v>709</v>
      </c>
      <c r="C430" t="s">
        <v>791</v>
      </c>
    </row>
    <row r="431" spans="1:3" x14ac:dyDescent="0.35">
      <c r="A431" s="20" t="s">
        <v>783</v>
      </c>
      <c r="B431" t="s">
        <v>709</v>
      </c>
      <c r="C431" t="s">
        <v>792</v>
      </c>
    </row>
    <row r="432" spans="1:3" x14ac:dyDescent="0.35">
      <c r="A432" s="20" t="s">
        <v>783</v>
      </c>
      <c r="B432" t="s">
        <v>709</v>
      </c>
      <c r="C432" t="s">
        <v>793</v>
      </c>
    </row>
    <row r="433" spans="1:3" x14ac:dyDescent="0.35">
      <c r="A433" s="20" t="s">
        <v>892</v>
      </c>
      <c r="B433" t="s">
        <v>893</v>
      </c>
      <c r="C433" t="s">
        <v>894</v>
      </c>
    </row>
    <row r="434" spans="1:3" x14ac:dyDescent="0.35">
      <c r="A434" s="20" t="s">
        <v>895</v>
      </c>
      <c r="B434" t="s">
        <v>893</v>
      </c>
      <c r="C434" t="s">
        <v>896</v>
      </c>
    </row>
    <row r="435" spans="1:3" x14ac:dyDescent="0.35">
      <c r="A435" s="20" t="s">
        <v>897</v>
      </c>
      <c r="B435" t="s">
        <v>893</v>
      </c>
      <c r="C435" t="s">
        <v>898</v>
      </c>
    </row>
    <row r="436" spans="1:3" x14ac:dyDescent="0.35">
      <c r="A436" s="20" t="s">
        <v>899</v>
      </c>
      <c r="B436" t="s">
        <v>893</v>
      </c>
      <c r="C436" t="s">
        <v>900</v>
      </c>
    </row>
    <row r="437" spans="1:3" x14ac:dyDescent="0.35">
      <c r="A437" s="20" t="s">
        <v>901</v>
      </c>
      <c r="B437" t="s">
        <v>893</v>
      </c>
      <c r="C437" t="s">
        <v>902</v>
      </c>
    </row>
    <row r="438" spans="1:3" x14ac:dyDescent="0.35">
      <c r="A438" s="20" t="s">
        <v>906</v>
      </c>
      <c r="B438" t="s">
        <v>893</v>
      </c>
      <c r="C438" t="s">
        <v>907</v>
      </c>
    </row>
    <row r="439" spans="1:3" x14ac:dyDescent="0.35">
      <c r="A439" s="20" t="s">
        <v>908</v>
      </c>
      <c r="B439" t="s">
        <v>909</v>
      </c>
    </row>
    <row r="440" spans="1:3" x14ac:dyDescent="0.35">
      <c r="A440" s="20" t="s">
        <v>908</v>
      </c>
      <c r="B440" t="s">
        <v>909</v>
      </c>
      <c r="C440" t="s">
        <v>910</v>
      </c>
    </row>
    <row r="441" spans="1:3" x14ac:dyDescent="0.35">
      <c r="A441" s="20" t="s">
        <v>908</v>
      </c>
      <c r="B441" t="s">
        <v>909</v>
      </c>
    </row>
    <row r="442" spans="1:3" x14ac:dyDescent="0.35">
      <c r="A442" s="20" t="s">
        <v>911</v>
      </c>
      <c r="B442" t="s">
        <v>909</v>
      </c>
      <c r="C442" t="s">
        <v>912</v>
      </c>
    </row>
    <row r="443" spans="1:3" x14ac:dyDescent="0.35">
      <c r="A443" s="20" t="s">
        <v>911</v>
      </c>
      <c r="B443" t="s">
        <v>909</v>
      </c>
      <c r="C443" t="s">
        <v>913</v>
      </c>
    </row>
    <row r="444" spans="1:3" x14ac:dyDescent="0.35">
      <c r="A444" s="20" t="s">
        <v>911</v>
      </c>
      <c r="B444" t="s">
        <v>909</v>
      </c>
      <c r="C444" t="s">
        <v>914</v>
      </c>
    </row>
    <row r="445" spans="1:3" x14ac:dyDescent="0.35">
      <c r="A445" s="20" t="s">
        <v>911</v>
      </c>
      <c r="B445" t="s">
        <v>909</v>
      </c>
      <c r="C445" t="s">
        <v>915</v>
      </c>
    </row>
    <row r="446" spans="1:3" x14ac:dyDescent="0.35">
      <c r="A446" s="20" t="s">
        <v>911</v>
      </c>
      <c r="B446" t="s">
        <v>909</v>
      </c>
      <c r="C446" t="s">
        <v>916</v>
      </c>
    </row>
    <row r="447" spans="1:3" x14ac:dyDescent="0.35">
      <c r="A447" s="20" t="s">
        <v>911</v>
      </c>
      <c r="B447" t="s">
        <v>909</v>
      </c>
      <c r="C447" t="s">
        <v>917</v>
      </c>
    </row>
    <row r="448" spans="1:3" x14ac:dyDescent="0.35">
      <c r="A448" s="20" t="s">
        <v>911</v>
      </c>
      <c r="B448" t="s">
        <v>909</v>
      </c>
      <c r="C448" t="s">
        <v>918</v>
      </c>
    </row>
    <row r="449" spans="1:3" x14ac:dyDescent="0.35">
      <c r="A449" s="20" t="s">
        <v>919</v>
      </c>
      <c r="B449" t="s">
        <v>909</v>
      </c>
      <c r="C449" t="s">
        <v>912</v>
      </c>
    </row>
    <row r="450" spans="1:3" x14ac:dyDescent="0.35">
      <c r="A450" s="20" t="s">
        <v>919</v>
      </c>
      <c r="B450" t="s">
        <v>909</v>
      </c>
      <c r="C450" t="s">
        <v>920</v>
      </c>
    </row>
    <row r="451" spans="1:3" x14ac:dyDescent="0.35">
      <c r="A451" s="20" t="s">
        <v>919</v>
      </c>
      <c r="B451" t="s">
        <v>909</v>
      </c>
      <c r="C451" t="s">
        <v>915</v>
      </c>
    </row>
    <row r="452" spans="1:3" x14ac:dyDescent="0.35">
      <c r="A452" s="20" t="s">
        <v>919</v>
      </c>
      <c r="B452" t="s">
        <v>909</v>
      </c>
      <c r="C452" t="s">
        <v>916</v>
      </c>
    </row>
    <row r="453" spans="1:3" x14ac:dyDescent="0.35">
      <c r="A453" s="20" t="s">
        <v>919</v>
      </c>
      <c r="B453" t="s">
        <v>909</v>
      </c>
      <c r="C453" t="s">
        <v>921</v>
      </c>
    </row>
    <row r="454" spans="1:3" x14ac:dyDescent="0.35">
      <c r="A454" s="20" t="s">
        <v>919</v>
      </c>
      <c r="B454" t="s">
        <v>909</v>
      </c>
      <c r="C454" t="s">
        <v>918</v>
      </c>
    </row>
    <row r="455" spans="1:3" x14ac:dyDescent="0.35">
      <c r="A455" s="20" t="s">
        <v>922</v>
      </c>
      <c r="B455" t="s">
        <v>909</v>
      </c>
      <c r="C455" t="s">
        <v>912</v>
      </c>
    </row>
    <row r="456" spans="1:3" x14ac:dyDescent="0.35">
      <c r="A456" s="20" t="s">
        <v>922</v>
      </c>
      <c r="B456" t="s">
        <v>909</v>
      </c>
      <c r="C456" t="s">
        <v>920</v>
      </c>
    </row>
    <row r="457" spans="1:3" x14ac:dyDescent="0.35">
      <c r="A457" s="20" t="s">
        <v>922</v>
      </c>
      <c r="B457" t="s">
        <v>909</v>
      </c>
      <c r="C457" t="s">
        <v>915</v>
      </c>
    </row>
    <row r="458" spans="1:3" x14ac:dyDescent="0.35">
      <c r="A458" s="20" t="s">
        <v>922</v>
      </c>
      <c r="B458" t="s">
        <v>909</v>
      </c>
      <c r="C458" t="s">
        <v>916</v>
      </c>
    </row>
    <row r="459" spans="1:3" x14ac:dyDescent="0.35">
      <c r="A459" s="20" t="s">
        <v>922</v>
      </c>
      <c r="B459" t="s">
        <v>909</v>
      </c>
      <c r="C459" t="s">
        <v>921</v>
      </c>
    </row>
    <row r="460" spans="1:3" x14ac:dyDescent="0.35">
      <c r="A460" s="20" t="s">
        <v>922</v>
      </c>
      <c r="B460" t="s">
        <v>909</v>
      </c>
      <c r="C460" t="s">
        <v>918</v>
      </c>
    </row>
    <row r="461" spans="1:3" x14ac:dyDescent="0.35">
      <c r="A461" s="20" t="s">
        <v>923</v>
      </c>
      <c r="B461" t="s">
        <v>893</v>
      </c>
      <c r="C461" t="s">
        <v>900</v>
      </c>
    </row>
    <row r="462" spans="1:3" x14ac:dyDescent="0.35">
      <c r="A462" s="20" t="s">
        <v>924</v>
      </c>
      <c r="B462" t="s">
        <v>893</v>
      </c>
      <c r="C462" t="s">
        <v>900</v>
      </c>
    </row>
    <row r="463" spans="1:3" x14ac:dyDescent="0.35">
      <c r="A463" s="20" t="s">
        <v>925</v>
      </c>
      <c r="B463" t="s">
        <v>909</v>
      </c>
      <c r="C463" t="s">
        <v>912</v>
      </c>
    </row>
    <row r="464" spans="1:3" x14ac:dyDescent="0.35">
      <c r="A464" s="20" t="s">
        <v>925</v>
      </c>
      <c r="B464" t="s">
        <v>909</v>
      </c>
      <c r="C464" t="s">
        <v>926</v>
      </c>
    </row>
    <row r="465" spans="1:3" x14ac:dyDescent="0.35">
      <c r="A465" s="20" t="s">
        <v>925</v>
      </c>
      <c r="B465" t="s">
        <v>909</v>
      </c>
      <c r="C465" t="s">
        <v>927</v>
      </c>
    </row>
    <row r="466" spans="1:3" x14ac:dyDescent="0.35">
      <c r="A466" s="20" t="s">
        <v>925</v>
      </c>
      <c r="B466" t="s">
        <v>909</v>
      </c>
      <c r="C466" t="s">
        <v>928</v>
      </c>
    </row>
    <row r="467" spans="1:3" x14ac:dyDescent="0.35">
      <c r="A467" s="20" t="s">
        <v>929</v>
      </c>
      <c r="B467" t="s">
        <v>909</v>
      </c>
      <c r="C467" t="s">
        <v>912</v>
      </c>
    </row>
    <row r="468" spans="1:3" x14ac:dyDescent="0.35">
      <c r="A468" s="20" t="s">
        <v>929</v>
      </c>
      <c r="B468" t="s">
        <v>909</v>
      </c>
      <c r="C468" t="s">
        <v>930</v>
      </c>
    </row>
    <row r="469" spans="1:3" x14ac:dyDescent="0.35">
      <c r="A469" s="20" t="s">
        <v>929</v>
      </c>
      <c r="B469" t="s">
        <v>909</v>
      </c>
      <c r="C469" t="s">
        <v>931</v>
      </c>
    </row>
    <row r="470" spans="1:3" x14ac:dyDescent="0.35">
      <c r="A470" s="20" t="s">
        <v>929</v>
      </c>
      <c r="B470" t="s">
        <v>909</v>
      </c>
      <c r="C470" t="s">
        <v>918</v>
      </c>
    </row>
    <row r="471" spans="1:3" x14ac:dyDescent="0.35">
      <c r="A471" s="20" t="s">
        <v>936</v>
      </c>
      <c r="B471" t="s">
        <v>893</v>
      </c>
      <c r="C471" t="s">
        <v>937</v>
      </c>
    </row>
    <row r="472" spans="1:3" x14ac:dyDescent="0.35">
      <c r="A472" s="20" t="s">
        <v>938</v>
      </c>
      <c r="B472" t="s">
        <v>909</v>
      </c>
      <c r="C472" t="s">
        <v>912</v>
      </c>
    </row>
    <row r="473" spans="1:3" x14ac:dyDescent="0.35">
      <c r="A473" s="20" t="s">
        <v>938</v>
      </c>
      <c r="B473" t="s">
        <v>909</v>
      </c>
      <c r="C473" t="s">
        <v>926</v>
      </c>
    </row>
    <row r="474" spans="1:3" x14ac:dyDescent="0.35">
      <c r="A474" s="20" t="s">
        <v>938</v>
      </c>
      <c r="B474" t="s">
        <v>909</v>
      </c>
      <c r="C474" t="s">
        <v>927</v>
      </c>
    </row>
    <row r="475" spans="1:3" x14ac:dyDescent="0.35">
      <c r="A475" s="20" t="s">
        <v>938</v>
      </c>
      <c r="B475" t="s">
        <v>909</v>
      </c>
      <c r="C475" t="s">
        <v>928</v>
      </c>
    </row>
    <row r="476" spans="1:3" x14ac:dyDescent="0.35">
      <c r="A476" s="20" t="s">
        <v>939</v>
      </c>
      <c r="B476" t="s">
        <v>909</v>
      </c>
      <c r="C476" t="s">
        <v>912</v>
      </c>
    </row>
    <row r="477" spans="1:3" x14ac:dyDescent="0.35">
      <c r="A477" s="20" t="s">
        <v>939</v>
      </c>
      <c r="B477" t="s">
        <v>909</v>
      </c>
      <c r="C477" t="s">
        <v>926</v>
      </c>
    </row>
    <row r="478" spans="1:3" x14ac:dyDescent="0.35">
      <c r="A478" s="20" t="s">
        <v>939</v>
      </c>
      <c r="B478" t="s">
        <v>909</v>
      </c>
      <c r="C478" t="s">
        <v>940</v>
      </c>
    </row>
    <row r="479" spans="1:3" x14ac:dyDescent="0.35">
      <c r="A479" s="20" t="s">
        <v>939</v>
      </c>
      <c r="B479" t="s">
        <v>909</v>
      </c>
      <c r="C479" t="s">
        <v>941</v>
      </c>
    </row>
    <row r="480" spans="1:3" x14ac:dyDescent="0.35">
      <c r="A480" s="20" t="s">
        <v>939</v>
      </c>
      <c r="B480" t="s">
        <v>90</v>
      </c>
      <c r="C480" t="s">
        <v>942</v>
      </c>
    </row>
    <row r="481" spans="1:3" x14ac:dyDescent="0.35">
      <c r="A481" s="20" t="s">
        <v>939</v>
      </c>
      <c r="B481" t="s">
        <v>909</v>
      </c>
      <c r="C481" t="s">
        <v>943</v>
      </c>
    </row>
    <row r="482" spans="1:3" x14ac:dyDescent="0.35">
      <c r="A482" s="20" t="s">
        <v>939</v>
      </c>
      <c r="B482" t="s">
        <v>909</v>
      </c>
      <c r="C482" t="s">
        <v>944</v>
      </c>
    </row>
    <row r="483" spans="1:3" x14ac:dyDescent="0.35">
      <c r="A483" s="20" t="s">
        <v>939</v>
      </c>
      <c r="B483" t="s">
        <v>909</v>
      </c>
      <c r="C483" t="s">
        <v>945</v>
      </c>
    </row>
    <row r="484" spans="1:3" x14ac:dyDescent="0.35">
      <c r="A484" s="20" t="s">
        <v>939</v>
      </c>
      <c r="B484" t="s">
        <v>909</v>
      </c>
      <c r="C484" t="s">
        <v>946</v>
      </c>
    </row>
    <row r="485" spans="1:3" x14ac:dyDescent="0.35">
      <c r="A485" s="20" t="s">
        <v>947</v>
      </c>
      <c r="B485" t="s">
        <v>909</v>
      </c>
      <c r="C485" t="s">
        <v>912</v>
      </c>
    </row>
    <row r="486" spans="1:3" x14ac:dyDescent="0.35">
      <c r="A486" s="20" t="s">
        <v>947</v>
      </c>
      <c r="B486" t="s">
        <v>909</v>
      </c>
      <c r="C486" t="s">
        <v>926</v>
      </c>
    </row>
    <row r="487" spans="1:3" x14ac:dyDescent="0.35">
      <c r="A487" s="20" t="s">
        <v>947</v>
      </c>
      <c r="B487" t="s">
        <v>909</v>
      </c>
      <c r="C487" t="s">
        <v>940</v>
      </c>
    </row>
    <row r="488" spans="1:3" x14ac:dyDescent="0.35">
      <c r="A488" s="20" t="s">
        <v>947</v>
      </c>
      <c r="B488" t="s">
        <v>909</v>
      </c>
      <c r="C488" t="s">
        <v>941</v>
      </c>
    </row>
    <row r="489" spans="1:3" x14ac:dyDescent="0.35">
      <c r="A489" s="20" t="s">
        <v>947</v>
      </c>
      <c r="B489" t="s">
        <v>90</v>
      </c>
      <c r="C489" t="s">
        <v>942</v>
      </c>
    </row>
    <row r="490" spans="1:3" x14ac:dyDescent="0.35">
      <c r="A490" s="20" t="s">
        <v>947</v>
      </c>
      <c r="B490" t="s">
        <v>909</v>
      </c>
      <c r="C490" t="s">
        <v>943</v>
      </c>
    </row>
    <row r="491" spans="1:3" x14ac:dyDescent="0.35">
      <c r="A491" s="20" t="s">
        <v>947</v>
      </c>
      <c r="B491" t="s">
        <v>909</v>
      </c>
      <c r="C491" t="s">
        <v>944</v>
      </c>
    </row>
    <row r="492" spans="1:3" x14ac:dyDescent="0.35">
      <c r="A492" s="20" t="s">
        <v>947</v>
      </c>
      <c r="B492" t="s">
        <v>909</v>
      </c>
      <c r="C492" t="s">
        <v>945</v>
      </c>
    </row>
    <row r="493" spans="1:3" x14ac:dyDescent="0.35">
      <c r="A493" s="20" t="s">
        <v>947</v>
      </c>
      <c r="B493" t="s">
        <v>909</v>
      </c>
      <c r="C493" t="s">
        <v>946</v>
      </c>
    </row>
    <row r="494" spans="1:3" x14ac:dyDescent="0.35">
      <c r="A494" s="20" t="s">
        <v>948</v>
      </c>
      <c r="B494" t="s">
        <v>909</v>
      </c>
      <c r="C494" t="s">
        <v>912</v>
      </c>
    </row>
    <row r="495" spans="1:3" x14ac:dyDescent="0.35">
      <c r="A495" s="20" t="s">
        <v>948</v>
      </c>
      <c r="B495" t="s">
        <v>909</v>
      </c>
      <c r="C495" t="s">
        <v>926</v>
      </c>
    </row>
    <row r="496" spans="1:3" x14ac:dyDescent="0.35">
      <c r="A496" s="20" t="s">
        <v>948</v>
      </c>
      <c r="B496" t="s">
        <v>909</v>
      </c>
      <c r="C496" t="s">
        <v>940</v>
      </c>
    </row>
    <row r="497" spans="1:3" x14ac:dyDescent="0.35">
      <c r="A497" s="20" t="s">
        <v>948</v>
      </c>
      <c r="B497" t="s">
        <v>909</v>
      </c>
      <c r="C497" t="s">
        <v>941</v>
      </c>
    </row>
    <row r="498" spans="1:3" x14ac:dyDescent="0.35">
      <c r="A498" s="20" t="s">
        <v>948</v>
      </c>
      <c r="B498" t="s">
        <v>90</v>
      </c>
      <c r="C498" t="s">
        <v>942</v>
      </c>
    </row>
    <row r="499" spans="1:3" x14ac:dyDescent="0.35">
      <c r="A499" s="20" t="s">
        <v>948</v>
      </c>
      <c r="B499" t="s">
        <v>909</v>
      </c>
      <c r="C499" t="s">
        <v>949</v>
      </c>
    </row>
    <row r="500" spans="1:3" x14ac:dyDescent="0.35">
      <c r="A500" s="20" t="s">
        <v>948</v>
      </c>
      <c r="B500" t="s">
        <v>909</v>
      </c>
      <c r="C500" t="s">
        <v>944</v>
      </c>
    </row>
    <row r="501" spans="1:3" x14ac:dyDescent="0.35">
      <c r="A501" s="20" t="s">
        <v>948</v>
      </c>
      <c r="B501" t="s">
        <v>909</v>
      </c>
      <c r="C501" t="s">
        <v>945</v>
      </c>
    </row>
    <row r="502" spans="1:3" x14ac:dyDescent="0.35">
      <c r="A502" s="20" t="s">
        <v>948</v>
      </c>
      <c r="B502" t="s">
        <v>909</v>
      </c>
      <c r="C502" t="s">
        <v>946</v>
      </c>
    </row>
    <row r="503" spans="1:3" x14ac:dyDescent="0.35">
      <c r="A503" s="20" t="s">
        <v>950</v>
      </c>
      <c r="B503" t="s">
        <v>909</v>
      </c>
      <c r="C503" t="s">
        <v>912</v>
      </c>
    </row>
    <row r="504" spans="1:3" x14ac:dyDescent="0.35">
      <c r="A504" s="20" t="s">
        <v>950</v>
      </c>
      <c r="B504" t="s">
        <v>909</v>
      </c>
      <c r="C504" t="s">
        <v>926</v>
      </c>
    </row>
    <row r="505" spans="1:3" x14ac:dyDescent="0.35">
      <c r="A505" s="20" t="s">
        <v>950</v>
      </c>
      <c r="B505" t="s">
        <v>909</v>
      </c>
      <c r="C505" t="s">
        <v>940</v>
      </c>
    </row>
    <row r="506" spans="1:3" x14ac:dyDescent="0.35">
      <c r="A506" s="20" t="s">
        <v>950</v>
      </c>
      <c r="B506" t="s">
        <v>909</v>
      </c>
      <c r="C506" t="s">
        <v>941</v>
      </c>
    </row>
    <row r="507" spans="1:3" x14ac:dyDescent="0.35">
      <c r="A507" s="20" t="s">
        <v>950</v>
      </c>
      <c r="B507" t="s">
        <v>90</v>
      </c>
      <c r="C507" t="s">
        <v>942</v>
      </c>
    </row>
    <row r="508" spans="1:3" x14ac:dyDescent="0.35">
      <c r="A508" s="20" t="s">
        <v>950</v>
      </c>
      <c r="B508" t="s">
        <v>909</v>
      </c>
      <c r="C508" t="s">
        <v>951</v>
      </c>
    </row>
    <row r="509" spans="1:3" x14ac:dyDescent="0.35">
      <c r="A509" s="20" t="s">
        <v>950</v>
      </c>
      <c r="B509" t="s">
        <v>909</v>
      </c>
      <c r="C509" t="s">
        <v>944</v>
      </c>
    </row>
    <row r="510" spans="1:3" x14ac:dyDescent="0.35">
      <c r="A510" s="20" t="s">
        <v>950</v>
      </c>
      <c r="B510" t="s">
        <v>909</v>
      </c>
      <c r="C510" t="s">
        <v>945</v>
      </c>
    </row>
    <row r="511" spans="1:3" x14ac:dyDescent="0.35">
      <c r="A511" s="20" t="s">
        <v>950</v>
      </c>
      <c r="B511" t="s">
        <v>909</v>
      </c>
      <c r="C511" t="s">
        <v>946</v>
      </c>
    </row>
    <row r="512" spans="1:3" x14ac:dyDescent="0.35">
      <c r="A512" s="20" t="s">
        <v>952</v>
      </c>
      <c r="B512" t="s">
        <v>909</v>
      </c>
      <c r="C512" t="s">
        <v>912</v>
      </c>
    </row>
    <row r="513" spans="1:3" x14ac:dyDescent="0.35">
      <c r="A513" s="20" t="s">
        <v>952</v>
      </c>
      <c r="B513" t="s">
        <v>909</v>
      </c>
      <c r="C513" t="s">
        <v>926</v>
      </c>
    </row>
    <row r="514" spans="1:3" x14ac:dyDescent="0.35">
      <c r="A514" s="20" t="s">
        <v>952</v>
      </c>
      <c r="B514" t="s">
        <v>909</v>
      </c>
      <c r="C514" t="s">
        <v>940</v>
      </c>
    </row>
    <row r="515" spans="1:3" x14ac:dyDescent="0.35">
      <c r="A515" s="20" t="s">
        <v>952</v>
      </c>
      <c r="B515" t="s">
        <v>909</v>
      </c>
      <c r="C515" t="s">
        <v>941</v>
      </c>
    </row>
    <row r="516" spans="1:3" x14ac:dyDescent="0.35">
      <c r="A516" s="20" t="s">
        <v>952</v>
      </c>
      <c r="B516" t="s">
        <v>90</v>
      </c>
      <c r="C516" t="s">
        <v>953</v>
      </c>
    </row>
    <row r="517" spans="1:3" x14ac:dyDescent="0.35">
      <c r="A517" s="20" t="s">
        <v>952</v>
      </c>
      <c r="B517" t="s">
        <v>909</v>
      </c>
      <c r="C517" t="s">
        <v>951</v>
      </c>
    </row>
    <row r="518" spans="1:3" x14ac:dyDescent="0.35">
      <c r="A518" s="20" t="s">
        <v>952</v>
      </c>
      <c r="B518" t="s">
        <v>909</v>
      </c>
      <c r="C518" t="s">
        <v>944</v>
      </c>
    </row>
    <row r="519" spans="1:3" x14ac:dyDescent="0.35">
      <c r="A519" s="20" t="s">
        <v>952</v>
      </c>
      <c r="B519" t="s">
        <v>909</v>
      </c>
      <c r="C519" t="s">
        <v>945</v>
      </c>
    </row>
    <row r="520" spans="1:3" x14ac:dyDescent="0.35">
      <c r="A520" s="20" t="s">
        <v>952</v>
      </c>
      <c r="B520" t="s">
        <v>909</v>
      </c>
      <c r="C520" t="s">
        <v>946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A148C"/>
  </sheetPr>
  <dimension ref="A1:F98"/>
  <sheetViews>
    <sheetView showGridLines="0" workbookViewId="0">
      <selection activeCell="A2" sqref="A2"/>
    </sheetView>
  </sheetViews>
  <sheetFormatPr defaultRowHeight="14.5" x14ac:dyDescent="0.35"/>
  <cols>
    <col min="1" max="1" width="5.36328125" style="11" bestFit="1" customWidth="1"/>
    <col min="2" max="2" width="9.1796875" bestFit="1" customWidth="1"/>
    <col min="3" max="3" width="9.453125" bestFit="1" customWidth="1"/>
    <col min="4" max="4" width="9.90625" bestFit="1" customWidth="1"/>
    <col min="5" max="5" width="10.1796875" bestFit="1" customWidth="1"/>
    <col min="6" max="6" width="15.6328125" bestFit="1" customWidth="1"/>
  </cols>
  <sheetData>
    <row r="1" spans="1:6" x14ac:dyDescent="0.35">
      <c r="A1" s="11" t="s">
        <v>688</v>
      </c>
      <c r="B1" t="s">
        <v>84</v>
      </c>
      <c r="C1" t="s">
        <v>85</v>
      </c>
      <c r="D1" t="s">
        <v>86</v>
      </c>
      <c r="E1" t="s">
        <v>87</v>
      </c>
      <c r="F1" t="s">
        <v>80</v>
      </c>
    </row>
    <row r="2" spans="1:6" x14ac:dyDescent="0.35">
      <c r="A2" s="11">
        <v>0.66666666666666663</v>
      </c>
      <c r="B2">
        <v>151.80000000000001</v>
      </c>
      <c r="C2">
        <v>-19.899999999999999</v>
      </c>
      <c r="D2">
        <v>306.5</v>
      </c>
      <c r="E2">
        <v>12.6</v>
      </c>
      <c r="F2" t="s">
        <v>88</v>
      </c>
    </row>
    <row r="3" spans="1:6" x14ac:dyDescent="0.35">
      <c r="A3" s="11">
        <v>0.67708333333333337</v>
      </c>
      <c r="B3">
        <v>148.69999999999999</v>
      </c>
      <c r="C3">
        <v>-18.3</v>
      </c>
      <c r="D3">
        <v>304</v>
      </c>
      <c r="E3">
        <v>10.1</v>
      </c>
      <c r="F3" t="s">
        <v>88</v>
      </c>
    </row>
    <row r="4" spans="1:6" x14ac:dyDescent="0.35">
      <c r="A4" s="11">
        <v>0.6875</v>
      </c>
      <c r="B4">
        <v>145.69999999999999</v>
      </c>
      <c r="C4">
        <v>-16.7</v>
      </c>
      <c r="D4">
        <v>301.60000000000002</v>
      </c>
      <c r="E4">
        <v>7.5</v>
      </c>
      <c r="F4" t="s">
        <v>88</v>
      </c>
    </row>
    <row r="5" spans="1:6" x14ac:dyDescent="0.35">
      <c r="A5" s="11">
        <v>0.69791666666666663</v>
      </c>
      <c r="B5">
        <v>142.9</v>
      </c>
      <c r="C5">
        <v>-14.9</v>
      </c>
      <c r="D5">
        <v>299.3</v>
      </c>
      <c r="E5">
        <v>4.8</v>
      </c>
      <c r="F5" t="s">
        <v>88</v>
      </c>
    </row>
    <row r="6" spans="1:6" x14ac:dyDescent="0.35">
      <c r="A6" s="11">
        <v>0.70833333333333337</v>
      </c>
      <c r="B6">
        <v>140.1</v>
      </c>
      <c r="C6">
        <v>-12.9</v>
      </c>
      <c r="D6">
        <v>297.10000000000002</v>
      </c>
      <c r="E6">
        <v>2.1</v>
      </c>
      <c r="F6" t="s">
        <v>88</v>
      </c>
    </row>
    <row r="7" spans="1:6" x14ac:dyDescent="0.35">
      <c r="A7" s="11">
        <v>0.71875</v>
      </c>
      <c r="B7">
        <v>137.5</v>
      </c>
      <c r="C7">
        <v>-10.9</v>
      </c>
      <c r="D7">
        <v>294.89999999999998</v>
      </c>
      <c r="E7">
        <v>-0.7</v>
      </c>
      <c r="F7" t="s">
        <v>88</v>
      </c>
    </row>
    <row r="8" spans="1:6" x14ac:dyDescent="0.35">
      <c r="A8" s="11">
        <v>0.72916666666666663</v>
      </c>
      <c r="B8">
        <v>134.9</v>
      </c>
      <c r="C8">
        <v>-8.8000000000000007</v>
      </c>
      <c r="D8">
        <v>292.8</v>
      </c>
      <c r="E8">
        <v>-3.5</v>
      </c>
      <c r="F8" t="s">
        <v>88</v>
      </c>
    </row>
    <row r="9" spans="1:6" x14ac:dyDescent="0.35">
      <c r="A9" s="11">
        <v>0.73958333333333337</v>
      </c>
      <c r="B9">
        <v>132.5</v>
      </c>
      <c r="C9">
        <v>-6.5</v>
      </c>
      <c r="D9">
        <v>290.8</v>
      </c>
      <c r="E9">
        <v>-6.3</v>
      </c>
      <c r="F9" t="s">
        <v>88</v>
      </c>
    </row>
    <row r="10" spans="1:6" x14ac:dyDescent="0.35">
      <c r="A10" s="11">
        <v>0.75</v>
      </c>
      <c r="B10">
        <v>130.1</v>
      </c>
      <c r="C10">
        <v>-4.2</v>
      </c>
      <c r="D10">
        <v>288.8</v>
      </c>
      <c r="E10">
        <v>-9.1999999999999993</v>
      </c>
      <c r="F10" t="s">
        <v>88</v>
      </c>
    </row>
    <row r="11" spans="1:6" x14ac:dyDescent="0.35">
      <c r="A11" s="11">
        <v>0.76041666666666663</v>
      </c>
      <c r="B11">
        <v>127.9</v>
      </c>
      <c r="C11">
        <v>-1.8</v>
      </c>
      <c r="D11">
        <v>286.8</v>
      </c>
      <c r="E11">
        <v>-12.1</v>
      </c>
      <c r="F11" t="s">
        <v>88</v>
      </c>
    </row>
    <row r="12" spans="1:6" x14ac:dyDescent="0.35">
      <c r="A12" s="11">
        <v>0.77083333333333337</v>
      </c>
      <c r="B12">
        <v>125.7</v>
      </c>
      <c r="C12">
        <v>0.6</v>
      </c>
      <c r="D12">
        <v>284.8</v>
      </c>
      <c r="E12">
        <v>-15.1</v>
      </c>
      <c r="F12" t="s">
        <v>89</v>
      </c>
    </row>
    <row r="13" spans="1:6" x14ac:dyDescent="0.35">
      <c r="A13" s="11">
        <v>0.78125</v>
      </c>
      <c r="B13">
        <v>123.6</v>
      </c>
      <c r="C13">
        <v>3.2</v>
      </c>
      <c r="D13">
        <v>282.89999999999998</v>
      </c>
      <c r="E13">
        <v>-18.100000000000001</v>
      </c>
      <c r="F13" t="s">
        <v>89</v>
      </c>
    </row>
    <row r="14" spans="1:6" x14ac:dyDescent="0.35">
      <c r="A14" s="11">
        <v>0.79166666666666663</v>
      </c>
      <c r="B14">
        <v>121.6</v>
      </c>
      <c r="C14">
        <v>5.8</v>
      </c>
      <c r="D14">
        <v>281</v>
      </c>
      <c r="E14">
        <v>-21.1</v>
      </c>
      <c r="F14" t="s">
        <v>89</v>
      </c>
    </row>
    <row r="15" spans="1:6" x14ac:dyDescent="0.35">
      <c r="A15" s="11">
        <v>0.80208333333333337</v>
      </c>
      <c r="B15">
        <v>119.6</v>
      </c>
      <c r="C15">
        <v>8.4</v>
      </c>
      <c r="D15">
        <v>279.10000000000002</v>
      </c>
      <c r="E15">
        <v>-24.1</v>
      </c>
      <c r="F15" t="s">
        <v>89</v>
      </c>
    </row>
    <row r="16" spans="1:6" x14ac:dyDescent="0.35">
      <c r="A16" s="11">
        <v>0.8125</v>
      </c>
      <c r="B16">
        <v>117.7</v>
      </c>
      <c r="C16">
        <v>11.1</v>
      </c>
      <c r="D16">
        <v>277.10000000000002</v>
      </c>
      <c r="E16">
        <v>-27.2</v>
      </c>
      <c r="F16" t="s">
        <v>89</v>
      </c>
    </row>
    <row r="17" spans="1:6" x14ac:dyDescent="0.35">
      <c r="A17" s="11">
        <v>0.82291666666666663</v>
      </c>
      <c r="B17">
        <v>115.9</v>
      </c>
      <c r="C17">
        <v>13.9</v>
      </c>
      <c r="D17">
        <v>275.2</v>
      </c>
      <c r="E17">
        <v>-30.2</v>
      </c>
      <c r="F17" t="s">
        <v>89</v>
      </c>
    </row>
    <row r="18" spans="1:6" x14ac:dyDescent="0.35">
      <c r="A18" s="11">
        <v>0.83333333333333337</v>
      </c>
      <c r="B18">
        <v>114.1</v>
      </c>
      <c r="C18">
        <v>16.7</v>
      </c>
      <c r="D18">
        <v>273.2</v>
      </c>
      <c r="E18">
        <v>-33.299999999999997</v>
      </c>
      <c r="F18" t="s">
        <v>89</v>
      </c>
    </row>
    <row r="19" spans="1:6" x14ac:dyDescent="0.35">
      <c r="A19" s="11">
        <v>0.84375</v>
      </c>
      <c r="B19">
        <v>112.3</v>
      </c>
      <c r="C19">
        <v>19.5</v>
      </c>
      <c r="D19">
        <v>271.10000000000002</v>
      </c>
      <c r="E19">
        <v>-36.4</v>
      </c>
      <c r="F19" t="s">
        <v>89</v>
      </c>
    </row>
    <row r="20" spans="1:6" x14ac:dyDescent="0.35">
      <c r="A20" s="11">
        <v>0.85416666666666663</v>
      </c>
      <c r="B20">
        <v>110.6</v>
      </c>
      <c r="C20">
        <v>22.4</v>
      </c>
      <c r="D20">
        <v>269</v>
      </c>
      <c r="E20">
        <v>-39.4</v>
      </c>
      <c r="F20" t="s">
        <v>89</v>
      </c>
    </row>
    <row r="21" spans="1:6" x14ac:dyDescent="0.35">
      <c r="A21" s="11">
        <v>0.86458333333333337</v>
      </c>
      <c r="B21">
        <v>108.9</v>
      </c>
      <c r="C21">
        <v>25.3</v>
      </c>
      <c r="D21">
        <v>266.7</v>
      </c>
      <c r="E21">
        <v>-42.5</v>
      </c>
      <c r="F21" t="s">
        <v>89</v>
      </c>
    </row>
    <row r="22" spans="1:6" x14ac:dyDescent="0.35">
      <c r="A22" s="11">
        <v>0.875</v>
      </c>
      <c r="B22">
        <v>107.3</v>
      </c>
      <c r="C22">
        <v>28.2</v>
      </c>
      <c r="D22">
        <v>264.3</v>
      </c>
      <c r="E22">
        <v>-45.6</v>
      </c>
      <c r="F22" t="s">
        <v>89</v>
      </c>
    </row>
    <row r="23" spans="1:6" x14ac:dyDescent="0.35">
      <c r="A23" s="11">
        <v>0.88541666666666663</v>
      </c>
      <c r="B23">
        <v>105.6</v>
      </c>
      <c r="C23">
        <v>31.2</v>
      </c>
      <c r="D23">
        <v>261.8</v>
      </c>
      <c r="E23">
        <v>-48.6</v>
      </c>
      <c r="F23" t="s">
        <v>89</v>
      </c>
    </row>
    <row r="24" spans="1:6" x14ac:dyDescent="0.35">
      <c r="A24" s="11">
        <v>0.89583333333333337</v>
      </c>
      <c r="B24">
        <v>103.9</v>
      </c>
      <c r="C24">
        <v>34.1</v>
      </c>
      <c r="D24">
        <v>259</v>
      </c>
      <c r="E24">
        <v>-51.7</v>
      </c>
      <c r="F24" t="s">
        <v>89</v>
      </c>
    </row>
    <row r="25" spans="1:6" x14ac:dyDescent="0.35">
      <c r="A25" s="11">
        <v>0.90625</v>
      </c>
      <c r="B25">
        <v>102.3</v>
      </c>
      <c r="C25">
        <v>37.1</v>
      </c>
      <c r="D25">
        <v>256</v>
      </c>
      <c r="E25">
        <v>-54.7</v>
      </c>
      <c r="F25" t="s">
        <v>89</v>
      </c>
    </row>
    <row r="26" spans="1:6" x14ac:dyDescent="0.35">
      <c r="A26" s="11">
        <v>0.91666666666666663</v>
      </c>
      <c r="B26">
        <v>100.6</v>
      </c>
      <c r="C26">
        <v>40.200000000000003</v>
      </c>
      <c r="D26">
        <v>252.6</v>
      </c>
      <c r="E26">
        <v>-57.6</v>
      </c>
      <c r="F26" t="s">
        <v>89</v>
      </c>
    </row>
    <row r="27" spans="1:6" x14ac:dyDescent="0.35">
      <c r="A27" s="11">
        <v>0.92708333333333337</v>
      </c>
      <c r="B27">
        <v>98.9</v>
      </c>
      <c r="C27">
        <v>43.2</v>
      </c>
      <c r="D27">
        <v>248.8</v>
      </c>
      <c r="E27">
        <v>-60.5</v>
      </c>
      <c r="F27" t="s">
        <v>89</v>
      </c>
    </row>
    <row r="28" spans="1:6" x14ac:dyDescent="0.35">
      <c r="A28" s="11">
        <v>0.9375</v>
      </c>
      <c r="B28">
        <v>97.2</v>
      </c>
      <c r="C28">
        <v>46.3</v>
      </c>
      <c r="D28">
        <v>244.3</v>
      </c>
      <c r="E28">
        <v>-63.4</v>
      </c>
      <c r="F28" t="s">
        <v>89</v>
      </c>
    </row>
    <row r="29" spans="1:6" x14ac:dyDescent="0.35">
      <c r="A29" s="11">
        <v>0.94791666666666663</v>
      </c>
      <c r="B29">
        <v>95.4</v>
      </c>
      <c r="C29">
        <v>49.3</v>
      </c>
      <c r="D29">
        <v>239.1</v>
      </c>
      <c r="E29">
        <v>-66.099999999999994</v>
      </c>
      <c r="F29" t="s">
        <v>89</v>
      </c>
    </row>
    <row r="30" spans="1:6" x14ac:dyDescent="0.35">
      <c r="A30" s="11">
        <v>0.95833333333333337</v>
      </c>
      <c r="B30">
        <v>93.6</v>
      </c>
      <c r="C30">
        <v>52.4</v>
      </c>
      <c r="D30">
        <v>232.8</v>
      </c>
      <c r="E30">
        <v>-68.599999999999994</v>
      </c>
      <c r="F30" t="s">
        <v>89</v>
      </c>
    </row>
    <row r="31" spans="1:6" x14ac:dyDescent="0.35">
      <c r="A31" s="11">
        <v>0.96875</v>
      </c>
      <c r="B31">
        <v>91.6</v>
      </c>
      <c r="C31">
        <v>55.5</v>
      </c>
      <c r="D31">
        <v>225.2</v>
      </c>
      <c r="E31">
        <v>-70.900000000000006</v>
      </c>
      <c r="F31" t="s">
        <v>89</v>
      </c>
    </row>
    <row r="32" spans="1:6" x14ac:dyDescent="0.35">
      <c r="A32" s="11">
        <v>0.97916666666666663</v>
      </c>
      <c r="B32">
        <v>89.5</v>
      </c>
      <c r="C32">
        <v>58.6</v>
      </c>
      <c r="D32">
        <v>215.9</v>
      </c>
      <c r="E32">
        <v>-72.900000000000006</v>
      </c>
      <c r="F32" t="s">
        <v>89</v>
      </c>
    </row>
    <row r="33" spans="1:6" x14ac:dyDescent="0.35">
      <c r="A33" s="11">
        <v>0.98958333333333337</v>
      </c>
      <c r="B33">
        <v>87.2</v>
      </c>
      <c r="C33">
        <v>61.6</v>
      </c>
      <c r="D33">
        <v>204.7</v>
      </c>
      <c r="E33">
        <v>-74.5</v>
      </c>
      <c r="F33" t="s">
        <v>89</v>
      </c>
    </row>
    <row r="34" spans="1:6" x14ac:dyDescent="0.35">
      <c r="A34" s="11">
        <v>0</v>
      </c>
      <c r="B34">
        <v>84.6</v>
      </c>
      <c r="C34">
        <v>64.7</v>
      </c>
      <c r="D34">
        <v>191.6</v>
      </c>
      <c r="E34">
        <v>-75.5</v>
      </c>
      <c r="F34" t="s">
        <v>89</v>
      </c>
    </row>
    <row r="35" spans="1:6" x14ac:dyDescent="0.35">
      <c r="A35" s="11">
        <v>1.0416666666666666E-2</v>
      </c>
      <c r="B35">
        <v>81.599999999999994</v>
      </c>
      <c r="C35">
        <v>67.8</v>
      </c>
      <c r="D35">
        <v>177.5</v>
      </c>
      <c r="E35">
        <v>-75.7</v>
      </c>
      <c r="F35" t="s">
        <v>89</v>
      </c>
    </row>
    <row r="36" spans="1:6" x14ac:dyDescent="0.35">
      <c r="A36" s="11">
        <v>2.0833333333333332E-2</v>
      </c>
      <c r="B36">
        <v>78.099999999999994</v>
      </c>
      <c r="C36">
        <v>70.8</v>
      </c>
      <c r="D36">
        <v>163.6</v>
      </c>
      <c r="E36">
        <v>-75.2</v>
      </c>
      <c r="F36" t="s">
        <v>89</v>
      </c>
    </row>
    <row r="37" spans="1:6" x14ac:dyDescent="0.35">
      <c r="A37" s="11">
        <v>3.125E-2</v>
      </c>
      <c r="B37">
        <v>73.5</v>
      </c>
      <c r="C37">
        <v>73.8</v>
      </c>
      <c r="D37">
        <v>151.19999999999999</v>
      </c>
      <c r="E37">
        <v>-74</v>
      </c>
      <c r="F37" t="s">
        <v>89</v>
      </c>
    </row>
    <row r="38" spans="1:6" x14ac:dyDescent="0.35">
      <c r="A38" s="11">
        <v>4.1666666666666664E-2</v>
      </c>
      <c r="B38">
        <v>67.5</v>
      </c>
      <c r="C38">
        <v>76.7</v>
      </c>
      <c r="D38">
        <v>140.6</v>
      </c>
      <c r="E38">
        <v>-72.3</v>
      </c>
      <c r="F38" t="s">
        <v>89</v>
      </c>
    </row>
    <row r="39" spans="1:6" x14ac:dyDescent="0.35">
      <c r="A39" s="11">
        <v>5.2083333333333336E-2</v>
      </c>
      <c r="B39">
        <v>58.7</v>
      </c>
      <c r="C39">
        <v>79.5</v>
      </c>
      <c r="D39">
        <v>131.9</v>
      </c>
      <c r="E39">
        <v>-70.2</v>
      </c>
      <c r="F39" t="s">
        <v>89</v>
      </c>
    </row>
    <row r="40" spans="1:6" x14ac:dyDescent="0.35">
      <c r="A40" s="11">
        <v>6.25E-2</v>
      </c>
      <c r="B40">
        <v>44.9</v>
      </c>
      <c r="C40">
        <v>81.900000000000006</v>
      </c>
      <c r="D40">
        <v>124.8</v>
      </c>
      <c r="E40">
        <v>-67.8</v>
      </c>
      <c r="F40" t="s">
        <v>89</v>
      </c>
    </row>
    <row r="41" spans="1:6" x14ac:dyDescent="0.35">
      <c r="A41" s="11">
        <v>7.2916666666666671E-2</v>
      </c>
      <c r="B41">
        <v>22.4</v>
      </c>
      <c r="C41">
        <v>83.6</v>
      </c>
      <c r="D41">
        <v>118.9</v>
      </c>
      <c r="E41">
        <v>-65.099999999999994</v>
      </c>
      <c r="F41" t="s">
        <v>89</v>
      </c>
    </row>
    <row r="42" spans="1:6" x14ac:dyDescent="0.35">
      <c r="A42" s="11">
        <v>8.3333333333333329E-2</v>
      </c>
      <c r="B42">
        <v>351.7</v>
      </c>
      <c r="C42">
        <v>84</v>
      </c>
      <c r="D42">
        <v>114</v>
      </c>
      <c r="E42">
        <v>-62.4</v>
      </c>
      <c r="F42" t="s">
        <v>89</v>
      </c>
    </row>
    <row r="43" spans="1:6" x14ac:dyDescent="0.35">
      <c r="A43" s="11">
        <v>9.375E-2</v>
      </c>
      <c r="B43">
        <v>324.5</v>
      </c>
      <c r="C43">
        <v>82.8</v>
      </c>
      <c r="D43">
        <v>109.8</v>
      </c>
      <c r="E43">
        <v>-59.5</v>
      </c>
      <c r="F43" t="s">
        <v>89</v>
      </c>
    </row>
    <row r="44" spans="1:6" x14ac:dyDescent="0.35">
      <c r="A44" s="11">
        <v>0.10416666666666667</v>
      </c>
      <c r="B44">
        <v>307.10000000000002</v>
      </c>
      <c r="C44">
        <v>80.7</v>
      </c>
      <c r="D44">
        <v>106.1</v>
      </c>
      <c r="E44">
        <v>-56.6</v>
      </c>
      <c r="F44" t="s">
        <v>89</v>
      </c>
    </row>
    <row r="45" spans="1:6" x14ac:dyDescent="0.35">
      <c r="A45" s="11">
        <v>0.11458333333333333</v>
      </c>
      <c r="B45">
        <v>296.3</v>
      </c>
      <c r="C45">
        <v>78</v>
      </c>
      <c r="D45">
        <v>102.8</v>
      </c>
      <c r="E45">
        <v>-53.6</v>
      </c>
      <c r="F45" t="s">
        <v>89</v>
      </c>
    </row>
    <row r="46" spans="1:6" x14ac:dyDescent="0.35">
      <c r="A46" s="11">
        <v>0.125</v>
      </c>
      <c r="B46">
        <v>289.10000000000002</v>
      </c>
      <c r="C46">
        <v>75.2</v>
      </c>
      <c r="D46">
        <v>99.9</v>
      </c>
      <c r="E46">
        <v>-50.6</v>
      </c>
      <c r="F46" t="s">
        <v>89</v>
      </c>
    </row>
    <row r="47" spans="1:6" x14ac:dyDescent="0.35">
      <c r="A47" s="11">
        <v>0.13541666666666666</v>
      </c>
      <c r="B47">
        <v>284</v>
      </c>
      <c r="C47">
        <v>72.2</v>
      </c>
      <c r="D47">
        <v>97.2</v>
      </c>
      <c r="E47">
        <v>-47.6</v>
      </c>
      <c r="F47" t="s">
        <v>89</v>
      </c>
    </row>
    <row r="48" spans="1:6" x14ac:dyDescent="0.35">
      <c r="A48" s="11">
        <v>0.14583333333333334</v>
      </c>
      <c r="B48">
        <v>280</v>
      </c>
      <c r="C48">
        <v>69.2</v>
      </c>
      <c r="D48">
        <v>94.7</v>
      </c>
      <c r="E48">
        <v>-44.5</v>
      </c>
      <c r="F48" t="s">
        <v>89</v>
      </c>
    </row>
    <row r="49" spans="1:6" x14ac:dyDescent="0.35">
      <c r="A49" s="11">
        <v>0.15625</v>
      </c>
      <c r="B49">
        <v>276.7</v>
      </c>
      <c r="C49">
        <v>66.2</v>
      </c>
      <c r="D49">
        <v>92.4</v>
      </c>
      <c r="E49">
        <v>-41.5</v>
      </c>
      <c r="F49" t="s">
        <v>89</v>
      </c>
    </row>
    <row r="50" spans="1:6" x14ac:dyDescent="0.35">
      <c r="A50" s="11">
        <v>0.16666666666666666</v>
      </c>
      <c r="B50">
        <v>274</v>
      </c>
      <c r="C50">
        <v>63.1</v>
      </c>
      <c r="D50">
        <v>90.2</v>
      </c>
      <c r="E50">
        <v>-38.4</v>
      </c>
      <c r="F50" t="s">
        <v>89</v>
      </c>
    </row>
    <row r="51" spans="1:6" x14ac:dyDescent="0.35">
      <c r="A51" s="11">
        <v>0.17708333333333334</v>
      </c>
      <c r="B51">
        <v>271.5</v>
      </c>
      <c r="C51">
        <v>60</v>
      </c>
      <c r="D51">
        <v>88.1</v>
      </c>
      <c r="E51">
        <v>-35.299999999999997</v>
      </c>
      <c r="F51" t="s">
        <v>89</v>
      </c>
    </row>
    <row r="52" spans="1:6" x14ac:dyDescent="0.35">
      <c r="A52" s="11">
        <v>0.1875</v>
      </c>
      <c r="B52">
        <v>269.39999999999998</v>
      </c>
      <c r="C52">
        <v>56.9</v>
      </c>
      <c r="D52">
        <v>86.1</v>
      </c>
      <c r="E52">
        <v>-32.299999999999997</v>
      </c>
      <c r="F52" t="s">
        <v>89</v>
      </c>
    </row>
    <row r="53" spans="1:6" x14ac:dyDescent="0.35">
      <c r="A53" s="11">
        <v>0.19791666666666666</v>
      </c>
      <c r="B53">
        <v>267.3</v>
      </c>
      <c r="C53">
        <v>53.9</v>
      </c>
      <c r="D53">
        <v>84.1</v>
      </c>
      <c r="E53">
        <v>-29.2</v>
      </c>
      <c r="F53" t="s">
        <v>89</v>
      </c>
    </row>
    <row r="54" spans="1:6" x14ac:dyDescent="0.35">
      <c r="A54" s="11">
        <v>0.20833333333333334</v>
      </c>
      <c r="B54">
        <v>265.39999999999998</v>
      </c>
      <c r="C54">
        <v>50.8</v>
      </c>
      <c r="D54">
        <v>82.1</v>
      </c>
      <c r="E54">
        <v>-26.1</v>
      </c>
      <c r="F54" t="s">
        <v>89</v>
      </c>
    </row>
    <row r="55" spans="1:6" x14ac:dyDescent="0.35">
      <c r="A55" s="11">
        <v>0.21875</v>
      </c>
      <c r="B55">
        <v>263.60000000000002</v>
      </c>
      <c r="C55">
        <v>47.7</v>
      </c>
      <c r="D55">
        <v>80.2</v>
      </c>
      <c r="E55">
        <v>-23.1</v>
      </c>
      <c r="F55" t="s">
        <v>89</v>
      </c>
    </row>
    <row r="56" spans="1:6" x14ac:dyDescent="0.35">
      <c r="A56" s="11">
        <v>0.22916666666666666</v>
      </c>
      <c r="B56">
        <v>261.89999999999998</v>
      </c>
      <c r="C56">
        <v>44.7</v>
      </c>
      <c r="D56">
        <v>78.3</v>
      </c>
      <c r="E56">
        <v>-20.100000000000001</v>
      </c>
      <c r="F56" t="s">
        <v>89</v>
      </c>
    </row>
    <row r="57" spans="1:6" x14ac:dyDescent="0.35">
      <c r="A57" s="11">
        <v>0.23958333333333334</v>
      </c>
      <c r="B57">
        <v>260.2</v>
      </c>
      <c r="C57">
        <v>41.6</v>
      </c>
      <c r="D57">
        <v>76.3</v>
      </c>
      <c r="E57">
        <v>-17.100000000000001</v>
      </c>
      <c r="F57" t="s">
        <v>89</v>
      </c>
    </row>
    <row r="58" spans="1:6" x14ac:dyDescent="0.35">
      <c r="A58" s="11">
        <v>0.25</v>
      </c>
      <c r="B58">
        <v>258.5</v>
      </c>
      <c r="C58">
        <v>38.6</v>
      </c>
      <c r="D58">
        <v>74.400000000000006</v>
      </c>
      <c r="E58">
        <v>-14.1</v>
      </c>
      <c r="F58" t="s">
        <v>89</v>
      </c>
    </row>
    <row r="59" spans="1:6" x14ac:dyDescent="0.35">
      <c r="A59" s="11">
        <v>0.26041666666666669</v>
      </c>
      <c r="B59">
        <v>256.8</v>
      </c>
      <c r="C59">
        <v>35.6</v>
      </c>
      <c r="D59">
        <v>72.400000000000006</v>
      </c>
      <c r="E59">
        <v>-11.2</v>
      </c>
      <c r="F59" t="s">
        <v>89</v>
      </c>
    </row>
    <row r="60" spans="1:6" x14ac:dyDescent="0.35">
      <c r="A60" s="11">
        <v>0.27083333333333331</v>
      </c>
      <c r="B60">
        <v>255.2</v>
      </c>
      <c r="C60">
        <v>32.6</v>
      </c>
      <c r="D60">
        <v>70.5</v>
      </c>
      <c r="E60">
        <v>-8.3000000000000007</v>
      </c>
      <c r="F60" t="s">
        <v>89</v>
      </c>
    </row>
    <row r="61" spans="1:6" x14ac:dyDescent="0.35">
      <c r="A61" s="11">
        <v>0.28125</v>
      </c>
      <c r="B61">
        <v>253.5</v>
      </c>
      <c r="C61">
        <v>29.6</v>
      </c>
      <c r="D61">
        <v>68.400000000000006</v>
      </c>
      <c r="E61">
        <v>-5.4</v>
      </c>
      <c r="F61" t="s">
        <v>89</v>
      </c>
    </row>
    <row r="62" spans="1:6" x14ac:dyDescent="0.35">
      <c r="A62" s="11">
        <v>0.29166666666666669</v>
      </c>
      <c r="B62">
        <v>251.9</v>
      </c>
      <c r="C62">
        <v>26.7</v>
      </c>
      <c r="D62">
        <v>66.400000000000006</v>
      </c>
      <c r="E62">
        <v>-2.5</v>
      </c>
      <c r="F62" t="s">
        <v>89</v>
      </c>
    </row>
    <row r="63" spans="1:6" x14ac:dyDescent="0.35">
      <c r="A63" s="11">
        <v>0.30208333333333331</v>
      </c>
      <c r="B63">
        <v>250.2</v>
      </c>
      <c r="C63">
        <v>23.8</v>
      </c>
      <c r="D63">
        <v>64.3</v>
      </c>
      <c r="E63">
        <v>0.3</v>
      </c>
      <c r="F63" t="s">
        <v>89</v>
      </c>
    </row>
    <row r="64" spans="1:6" x14ac:dyDescent="0.35">
      <c r="A64" s="11">
        <v>0.3125</v>
      </c>
      <c r="B64">
        <v>248.5</v>
      </c>
      <c r="C64">
        <v>20.9</v>
      </c>
      <c r="D64">
        <v>62.1</v>
      </c>
      <c r="E64">
        <v>3</v>
      </c>
      <c r="F64" t="s">
        <v>89</v>
      </c>
    </row>
    <row r="65" spans="1:6" x14ac:dyDescent="0.35">
      <c r="A65" s="11">
        <v>0.32291666666666669</v>
      </c>
      <c r="B65">
        <v>246.7</v>
      </c>
      <c r="C65">
        <v>18</v>
      </c>
      <c r="D65">
        <v>59.8</v>
      </c>
      <c r="E65">
        <v>5.7</v>
      </c>
      <c r="F65" t="s">
        <v>89</v>
      </c>
    </row>
    <row r="66" spans="1:6" x14ac:dyDescent="0.35">
      <c r="A66" s="11">
        <v>0.33333333333333331</v>
      </c>
      <c r="B66">
        <v>245</v>
      </c>
      <c r="C66">
        <v>15.2</v>
      </c>
      <c r="D66">
        <v>57.5</v>
      </c>
      <c r="E66">
        <v>8.3000000000000007</v>
      </c>
      <c r="F66" t="s">
        <v>89</v>
      </c>
    </row>
    <row r="67" spans="1:6" x14ac:dyDescent="0.35">
      <c r="A67" s="11">
        <v>0.34375</v>
      </c>
      <c r="B67">
        <v>243.1</v>
      </c>
      <c r="C67">
        <v>12.4</v>
      </c>
      <c r="D67">
        <v>55</v>
      </c>
      <c r="E67">
        <v>10.9</v>
      </c>
      <c r="F67" t="s">
        <v>89</v>
      </c>
    </row>
    <row r="68" spans="1:6" x14ac:dyDescent="0.35">
      <c r="A68" s="11">
        <v>0.35416666666666669</v>
      </c>
      <c r="B68">
        <v>241.3</v>
      </c>
      <c r="C68">
        <v>9.6999999999999993</v>
      </c>
      <c r="D68">
        <v>52.5</v>
      </c>
      <c r="E68">
        <v>13.3</v>
      </c>
      <c r="F68" t="s">
        <v>89</v>
      </c>
    </row>
    <row r="69" spans="1:6" x14ac:dyDescent="0.35">
      <c r="A69" s="11">
        <v>0.36458333333333331</v>
      </c>
      <c r="B69">
        <v>239.3</v>
      </c>
      <c r="C69">
        <v>7</v>
      </c>
      <c r="D69">
        <v>49.8</v>
      </c>
      <c r="E69">
        <v>15.7</v>
      </c>
      <c r="F69" t="s">
        <v>89</v>
      </c>
    </row>
    <row r="70" spans="1:6" x14ac:dyDescent="0.35">
      <c r="A70" s="11">
        <v>0.375</v>
      </c>
      <c r="B70">
        <v>237.4</v>
      </c>
      <c r="C70">
        <v>4.4000000000000004</v>
      </c>
      <c r="D70">
        <v>47.1</v>
      </c>
      <c r="E70">
        <v>18</v>
      </c>
      <c r="F70" t="s">
        <v>89</v>
      </c>
    </row>
    <row r="71" spans="1:6" x14ac:dyDescent="0.35">
      <c r="A71" s="11">
        <v>0.38541666666666669</v>
      </c>
      <c r="B71">
        <v>235.3</v>
      </c>
      <c r="C71">
        <v>1.8</v>
      </c>
      <c r="D71">
        <v>44.2</v>
      </c>
      <c r="E71">
        <v>20.2</v>
      </c>
      <c r="F71" t="s">
        <v>89</v>
      </c>
    </row>
    <row r="72" spans="1:6" x14ac:dyDescent="0.35">
      <c r="A72" s="11">
        <v>0.39583333333333331</v>
      </c>
      <c r="B72">
        <v>233.2</v>
      </c>
      <c r="C72">
        <v>-0.7</v>
      </c>
      <c r="D72">
        <v>41.1</v>
      </c>
      <c r="E72">
        <v>22.3</v>
      </c>
      <c r="F72" t="s">
        <v>88</v>
      </c>
    </row>
    <row r="73" spans="1:6" x14ac:dyDescent="0.35">
      <c r="A73" s="11">
        <v>0.40625</v>
      </c>
      <c r="B73">
        <v>230.9</v>
      </c>
      <c r="C73">
        <v>-3.1</v>
      </c>
      <c r="D73">
        <v>38</v>
      </c>
      <c r="E73">
        <v>24.3</v>
      </c>
      <c r="F73" t="s">
        <v>88</v>
      </c>
    </row>
    <row r="74" spans="1:6" x14ac:dyDescent="0.35">
      <c r="A74" s="11">
        <v>0.41666666666666669</v>
      </c>
      <c r="B74">
        <v>228.6</v>
      </c>
      <c r="C74">
        <v>-5.5</v>
      </c>
      <c r="D74">
        <v>34.700000000000003</v>
      </c>
      <c r="E74">
        <v>26.1</v>
      </c>
      <c r="F74" t="s">
        <v>88</v>
      </c>
    </row>
    <row r="75" spans="1:6" x14ac:dyDescent="0.35">
      <c r="A75" s="11">
        <v>0.42708333333333331</v>
      </c>
      <c r="B75">
        <v>226.2</v>
      </c>
      <c r="C75">
        <v>-7.7</v>
      </c>
      <c r="D75">
        <v>31.2</v>
      </c>
      <c r="E75">
        <v>27.8</v>
      </c>
      <c r="F75" t="s">
        <v>88</v>
      </c>
    </row>
    <row r="76" spans="1:6" x14ac:dyDescent="0.35">
      <c r="A76" s="11">
        <v>0.4375</v>
      </c>
      <c r="B76">
        <v>223.8</v>
      </c>
      <c r="C76">
        <v>-9.9</v>
      </c>
      <c r="D76">
        <v>27.6</v>
      </c>
      <c r="E76">
        <v>29.3</v>
      </c>
      <c r="F76" t="s">
        <v>88</v>
      </c>
    </row>
    <row r="77" spans="1:6" x14ac:dyDescent="0.35">
      <c r="A77" s="11">
        <v>0.44791666666666669</v>
      </c>
      <c r="B77">
        <v>221.2</v>
      </c>
      <c r="C77">
        <v>-12</v>
      </c>
      <c r="D77">
        <v>23.9</v>
      </c>
      <c r="E77">
        <v>30.6</v>
      </c>
      <c r="F77" t="s">
        <v>88</v>
      </c>
    </row>
    <row r="78" spans="1:6" x14ac:dyDescent="0.35">
      <c r="A78" s="11">
        <v>0.45833333333333331</v>
      </c>
      <c r="B78">
        <v>218.5</v>
      </c>
      <c r="C78">
        <v>-14</v>
      </c>
      <c r="D78">
        <v>20</v>
      </c>
      <c r="E78">
        <v>31.7</v>
      </c>
      <c r="F78" t="s">
        <v>88</v>
      </c>
    </row>
    <row r="79" spans="1:6" x14ac:dyDescent="0.35">
      <c r="A79" s="11">
        <v>0.46875</v>
      </c>
      <c r="B79">
        <v>215.7</v>
      </c>
      <c r="C79">
        <v>-15.8</v>
      </c>
      <c r="D79">
        <v>16</v>
      </c>
      <c r="E79">
        <v>32.700000000000003</v>
      </c>
      <c r="F79" t="s">
        <v>88</v>
      </c>
    </row>
    <row r="80" spans="1:6" x14ac:dyDescent="0.35">
      <c r="A80" s="11">
        <v>0.47916666666666669</v>
      </c>
      <c r="B80">
        <v>212.7</v>
      </c>
      <c r="C80">
        <v>-17.5</v>
      </c>
      <c r="D80">
        <v>11.9</v>
      </c>
      <c r="E80">
        <v>33.4</v>
      </c>
      <c r="F80" t="s">
        <v>88</v>
      </c>
    </row>
    <row r="81" spans="1:6" x14ac:dyDescent="0.35">
      <c r="A81" s="11">
        <v>0.48958333333333331</v>
      </c>
      <c r="B81">
        <v>209.7</v>
      </c>
      <c r="C81">
        <v>-19.100000000000001</v>
      </c>
      <c r="D81">
        <v>7.7</v>
      </c>
      <c r="E81">
        <v>33.9</v>
      </c>
      <c r="F81" t="s">
        <v>88</v>
      </c>
    </row>
    <row r="82" spans="1:6" x14ac:dyDescent="0.35">
      <c r="A82" s="11">
        <v>0.5</v>
      </c>
      <c r="B82">
        <v>206.6</v>
      </c>
      <c r="C82">
        <v>-20.6</v>
      </c>
      <c r="D82">
        <v>3.5</v>
      </c>
      <c r="E82">
        <v>34.200000000000003</v>
      </c>
      <c r="F82" t="s">
        <v>88</v>
      </c>
    </row>
    <row r="83" spans="1:6" x14ac:dyDescent="0.35">
      <c r="A83" s="11">
        <v>0.51041666666666663</v>
      </c>
      <c r="B83">
        <v>203.3</v>
      </c>
      <c r="C83">
        <v>-21.9</v>
      </c>
      <c r="D83">
        <v>359.3</v>
      </c>
      <c r="E83">
        <v>34.299999999999997</v>
      </c>
      <c r="F83" t="s">
        <v>88</v>
      </c>
    </row>
    <row r="84" spans="1:6" x14ac:dyDescent="0.35">
      <c r="A84" s="11">
        <v>0.52083333333333337</v>
      </c>
      <c r="B84">
        <v>200</v>
      </c>
      <c r="C84">
        <v>-23</v>
      </c>
      <c r="D84">
        <v>355</v>
      </c>
      <c r="E84">
        <v>34.200000000000003</v>
      </c>
      <c r="F84" t="s">
        <v>88</v>
      </c>
    </row>
    <row r="85" spans="1:6" x14ac:dyDescent="0.35">
      <c r="A85" s="11">
        <v>0.53125</v>
      </c>
      <c r="B85">
        <v>196.6</v>
      </c>
      <c r="C85">
        <v>-24</v>
      </c>
      <c r="D85">
        <v>350.8</v>
      </c>
      <c r="E85">
        <v>33.799999999999997</v>
      </c>
      <c r="F85" t="s">
        <v>88</v>
      </c>
    </row>
    <row r="86" spans="1:6" x14ac:dyDescent="0.35">
      <c r="A86" s="11">
        <v>0.54166666666666663</v>
      </c>
      <c r="B86">
        <v>193.1</v>
      </c>
      <c r="C86">
        <v>-24.8</v>
      </c>
      <c r="D86">
        <v>346.7</v>
      </c>
      <c r="E86">
        <v>33.200000000000003</v>
      </c>
      <c r="F86" t="s">
        <v>88</v>
      </c>
    </row>
    <row r="87" spans="1:6" x14ac:dyDescent="0.35">
      <c r="A87" s="11">
        <v>0.55208333333333337</v>
      </c>
      <c r="B87">
        <v>189.5</v>
      </c>
      <c r="C87">
        <v>-25.4</v>
      </c>
      <c r="D87">
        <v>342.6</v>
      </c>
      <c r="E87">
        <v>32.4</v>
      </c>
      <c r="F87" t="s">
        <v>88</v>
      </c>
    </row>
    <row r="88" spans="1:6" x14ac:dyDescent="0.35">
      <c r="A88" s="11">
        <v>0.5625</v>
      </c>
      <c r="B88">
        <v>185.9</v>
      </c>
      <c r="C88">
        <v>-25.8</v>
      </c>
      <c r="D88">
        <v>338.7</v>
      </c>
      <c r="E88">
        <v>31.3</v>
      </c>
      <c r="F88" t="s">
        <v>88</v>
      </c>
    </row>
    <row r="89" spans="1:6" x14ac:dyDescent="0.35">
      <c r="A89" s="11">
        <v>0.57291666666666663</v>
      </c>
      <c r="B89">
        <v>182.2</v>
      </c>
      <c r="C89">
        <v>-26</v>
      </c>
      <c r="D89">
        <v>334.9</v>
      </c>
      <c r="E89">
        <v>30.1</v>
      </c>
      <c r="F89" t="s">
        <v>88</v>
      </c>
    </row>
    <row r="90" spans="1:6" x14ac:dyDescent="0.35">
      <c r="A90" s="11">
        <v>0.58333333333333337</v>
      </c>
      <c r="B90">
        <v>178.6</v>
      </c>
      <c r="C90">
        <v>-26</v>
      </c>
      <c r="D90">
        <v>331.2</v>
      </c>
      <c r="E90">
        <v>28.7</v>
      </c>
      <c r="F90" t="s">
        <v>88</v>
      </c>
    </row>
    <row r="91" spans="1:6" x14ac:dyDescent="0.35">
      <c r="A91" s="11">
        <v>0.59375</v>
      </c>
      <c r="B91">
        <v>174.9</v>
      </c>
      <c r="C91">
        <v>-25.9</v>
      </c>
      <c r="D91">
        <v>327.60000000000002</v>
      </c>
      <c r="E91">
        <v>27.2</v>
      </c>
      <c r="F91" t="s">
        <v>88</v>
      </c>
    </row>
    <row r="92" spans="1:6" x14ac:dyDescent="0.35">
      <c r="A92" s="11">
        <v>0.60416666666666663</v>
      </c>
      <c r="B92">
        <v>171.3</v>
      </c>
      <c r="C92">
        <v>-25.5</v>
      </c>
      <c r="D92">
        <v>324.2</v>
      </c>
      <c r="E92">
        <v>25.4</v>
      </c>
      <c r="F92" t="s">
        <v>88</v>
      </c>
    </row>
    <row r="93" spans="1:6" x14ac:dyDescent="0.35">
      <c r="A93" s="11">
        <v>0.61458333333333337</v>
      </c>
      <c r="B93">
        <v>167.7</v>
      </c>
      <c r="C93">
        <v>-24.9</v>
      </c>
      <c r="D93">
        <v>320.89999999999998</v>
      </c>
      <c r="E93">
        <v>23.6</v>
      </c>
      <c r="F93" t="s">
        <v>88</v>
      </c>
    </row>
    <row r="94" spans="1:6" x14ac:dyDescent="0.35">
      <c r="A94" s="11">
        <v>0.625</v>
      </c>
      <c r="B94">
        <v>164.2</v>
      </c>
      <c r="C94">
        <v>-24.2</v>
      </c>
      <c r="D94">
        <v>317.8</v>
      </c>
      <c r="E94">
        <v>21.6</v>
      </c>
      <c r="F94" t="s">
        <v>88</v>
      </c>
    </row>
    <row r="95" spans="1:6" x14ac:dyDescent="0.35">
      <c r="A95" s="11">
        <v>0.63541666666666663</v>
      </c>
      <c r="B95">
        <v>160.69999999999999</v>
      </c>
      <c r="C95">
        <v>-23.3</v>
      </c>
      <c r="D95">
        <v>314.89999999999998</v>
      </c>
      <c r="E95">
        <v>19.399999999999999</v>
      </c>
      <c r="F95" t="s">
        <v>88</v>
      </c>
    </row>
    <row r="96" spans="1:6" x14ac:dyDescent="0.35">
      <c r="A96" s="11">
        <v>0.64583333333333337</v>
      </c>
      <c r="B96">
        <v>157.4</v>
      </c>
      <c r="C96">
        <v>-22.2</v>
      </c>
      <c r="D96">
        <v>312</v>
      </c>
      <c r="E96">
        <v>17.2</v>
      </c>
      <c r="F96" t="s">
        <v>88</v>
      </c>
    </row>
    <row r="97" spans="1:6" x14ac:dyDescent="0.35">
      <c r="A97" s="11">
        <v>0.65625</v>
      </c>
      <c r="B97">
        <v>154.1</v>
      </c>
      <c r="C97">
        <v>-20.9</v>
      </c>
      <c r="D97">
        <v>309.3</v>
      </c>
      <c r="E97">
        <v>14.9</v>
      </c>
      <c r="F97" t="s">
        <v>88</v>
      </c>
    </row>
    <row r="98" spans="1:6" x14ac:dyDescent="0.35">
      <c r="A98" s="11">
        <v>0.66666666666666663</v>
      </c>
      <c r="B98">
        <v>151</v>
      </c>
      <c r="C98">
        <v>-19.5</v>
      </c>
      <c r="D98">
        <v>306.7</v>
      </c>
      <c r="E98">
        <v>12.5</v>
      </c>
      <c r="F98" t="s">
        <v>88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BF13-0C82-4BF4-AF93-E27AA813D943}">
  <sheetPr codeName="Sheet9"/>
  <dimension ref="A1:H213"/>
  <sheetViews>
    <sheetView workbookViewId="0">
      <selection activeCell="G20" sqref="G20"/>
    </sheetView>
  </sheetViews>
  <sheetFormatPr defaultRowHeight="14.5" x14ac:dyDescent="0.35"/>
  <cols>
    <col min="1" max="2" width="11.81640625" bestFit="1" customWidth="1"/>
    <col min="3" max="4" width="12.453125" bestFit="1" customWidth="1"/>
    <col min="5" max="5" width="14.81640625" bestFit="1" customWidth="1"/>
    <col min="6" max="6" width="11.81640625" bestFit="1" customWidth="1"/>
    <col min="7" max="7" width="10.26953125" bestFit="1" customWidth="1"/>
    <col min="8" max="8" width="10.81640625" bestFit="1" customWidth="1"/>
  </cols>
  <sheetData>
    <row r="1" spans="1:8" x14ac:dyDescent="0.35">
      <c r="A1" s="24" t="s">
        <v>318</v>
      </c>
      <c r="B1" s="24" t="s">
        <v>319</v>
      </c>
      <c r="C1" s="24" t="s">
        <v>320</v>
      </c>
      <c r="D1" s="24" t="s">
        <v>321</v>
      </c>
      <c r="E1" s="24" t="s">
        <v>322</v>
      </c>
      <c r="F1" s="24" t="s">
        <v>323</v>
      </c>
      <c r="G1" s="24" t="s">
        <v>324</v>
      </c>
      <c r="H1" s="24" t="s">
        <v>497</v>
      </c>
    </row>
    <row r="2" spans="1:8" x14ac:dyDescent="0.35">
      <c r="A2" s="26">
        <v>0</v>
      </c>
      <c r="B2" s="26">
        <v>0</v>
      </c>
      <c r="C2" s="26">
        <v>0</v>
      </c>
      <c r="D2" s="26">
        <v>0</v>
      </c>
      <c r="E2" s="26">
        <v>0</v>
      </c>
      <c r="F2" s="26">
        <v>0</v>
      </c>
      <c r="G2">
        <v>0</v>
      </c>
    </row>
    <row r="3" spans="1:8" x14ac:dyDescent="0.35">
      <c r="A3" s="26">
        <v>0</v>
      </c>
      <c r="B3" s="26">
        <v>0</v>
      </c>
      <c r="C3" s="26">
        <v>0</v>
      </c>
      <c r="D3" s="26">
        <v>0</v>
      </c>
      <c r="E3" s="26">
        <v>0</v>
      </c>
      <c r="F3" s="26">
        <v>0</v>
      </c>
      <c r="G3">
        <v>0</v>
      </c>
      <c r="H3">
        <v>3</v>
      </c>
    </row>
    <row r="4" spans="1:8" x14ac:dyDescent="0.35">
      <c r="A4" s="26">
        <v>1</v>
      </c>
      <c r="B4" s="26">
        <v>0</v>
      </c>
      <c r="C4" s="26">
        <v>0</v>
      </c>
      <c r="D4" s="26">
        <v>0</v>
      </c>
      <c r="E4" s="26">
        <v>0</v>
      </c>
      <c r="F4" s="26">
        <v>0</v>
      </c>
      <c r="G4">
        <v>0</v>
      </c>
    </row>
    <row r="5" spans="1:8" x14ac:dyDescent="0.35">
      <c r="A5" s="26">
        <v>1</v>
      </c>
      <c r="B5" s="26">
        <v>0</v>
      </c>
      <c r="C5" s="26">
        <v>0</v>
      </c>
      <c r="D5" s="26">
        <v>0</v>
      </c>
      <c r="E5" s="26">
        <v>0</v>
      </c>
      <c r="F5" s="26">
        <v>0</v>
      </c>
      <c r="G5">
        <v>100</v>
      </c>
      <c r="H5">
        <v>5</v>
      </c>
    </row>
    <row r="6" spans="1:8" x14ac:dyDescent="0.35">
      <c r="A6" s="26">
        <v>4.5294117647058822</v>
      </c>
      <c r="B6" s="26">
        <v>9.8034199755678439E-2</v>
      </c>
      <c r="C6" s="26">
        <v>-8.5805315371040834E-4</v>
      </c>
      <c r="D6" s="26">
        <v>-1.0029473197436691</v>
      </c>
      <c r="E6" s="26">
        <v>9.8039206470588239E-2</v>
      </c>
      <c r="F6" s="26">
        <v>-5</v>
      </c>
      <c r="G6">
        <v>100</v>
      </c>
    </row>
    <row r="7" spans="1:8" x14ac:dyDescent="0.35">
      <c r="A7">
        <v>8.0588235294117645</v>
      </c>
      <c r="B7">
        <v>0.19603836106282227</v>
      </c>
      <c r="C7">
        <v>-3.4319497006186821E-3</v>
      </c>
      <c r="D7">
        <v>-2.0058946394873383</v>
      </c>
      <c r="E7">
        <v>9.8039206470588239E-2</v>
      </c>
      <c r="F7">
        <v>-5</v>
      </c>
      <c r="G7">
        <v>100</v>
      </c>
    </row>
    <row r="8" spans="1:8" x14ac:dyDescent="0.35">
      <c r="A8">
        <v>11.588235294117647</v>
      </c>
      <c r="B8">
        <v>0.29398245467691342</v>
      </c>
      <c r="C8">
        <v>-7.7209009786127292E-3</v>
      </c>
      <c r="D8">
        <v>-3.0088419592310074</v>
      </c>
      <c r="E8">
        <v>9.8039206470588239E-2</v>
      </c>
      <c r="F8">
        <v>-5</v>
      </c>
      <c r="G8">
        <v>100</v>
      </c>
    </row>
    <row r="9" spans="1:8" x14ac:dyDescent="0.35">
      <c r="A9">
        <v>15.117647058823529</v>
      </c>
      <c r="B9">
        <v>0.3918364697586465</v>
      </c>
      <c r="C9">
        <v>-1.3723592819346058E-2</v>
      </c>
      <c r="D9">
        <v>-4.0117892789746765</v>
      </c>
      <c r="E9">
        <v>9.8039206470588239E-2</v>
      </c>
      <c r="F9">
        <v>-5</v>
      </c>
      <c r="G9">
        <v>100</v>
      </c>
    </row>
    <row r="10" spans="1:8" x14ac:dyDescent="0.35">
      <c r="A10">
        <v>18.647058823529413</v>
      </c>
      <c r="B10">
        <v>0.48957042306948578</v>
      </c>
      <c r="C10">
        <v>-2.143818595090842E-2</v>
      </c>
      <c r="D10">
        <v>-5.0147365987183452</v>
      </c>
      <c r="E10">
        <v>9.8039206470588239E-2</v>
      </c>
      <c r="F10">
        <v>-5</v>
      </c>
      <c r="G10">
        <v>100</v>
      </c>
    </row>
    <row r="11" spans="1:8" x14ac:dyDescent="0.35">
      <c r="A11">
        <v>22.176470588235293</v>
      </c>
      <c r="B11">
        <v>0.58715436815876476</v>
      </c>
      <c r="C11">
        <v>-3.0862316561391098E-2</v>
      </c>
      <c r="D11">
        <v>-6.0176839184620139</v>
      </c>
      <c r="E11">
        <v>9.8039206470588239E-2</v>
      </c>
      <c r="F11">
        <v>-5</v>
      </c>
      <c r="G11">
        <v>100</v>
      </c>
    </row>
    <row r="12" spans="1:8" x14ac:dyDescent="0.35">
      <c r="A12">
        <v>25.705882352941178</v>
      </c>
      <c r="B12">
        <v>0.68455840453951389</v>
      </c>
      <c r="C12">
        <v>-4.1993097023180201E-2</v>
      </c>
      <c r="D12">
        <v>-7.0206312382056835</v>
      </c>
      <c r="E12">
        <v>9.8039206470588239E-2</v>
      </c>
      <c r="F12">
        <v>-5</v>
      </c>
      <c r="G12">
        <v>100</v>
      </c>
    </row>
    <row r="13" spans="1:8" x14ac:dyDescent="0.35">
      <c r="A13">
        <v>29.235294117647058</v>
      </c>
      <c r="B13">
        <v>0.7817526868502046</v>
      </c>
      <c r="C13">
        <v>-5.4827116777747903E-2</v>
      </c>
      <c r="D13">
        <v>-8.023578557949353</v>
      </c>
      <c r="E13">
        <v>9.8039206470588239E-2</v>
      </c>
      <c r="F13">
        <v>-5</v>
      </c>
      <c r="G13">
        <v>100</v>
      </c>
    </row>
    <row r="14" spans="1:8" x14ac:dyDescent="0.35">
      <c r="A14">
        <v>32.764705882352942</v>
      </c>
      <c r="B14">
        <v>0.87870743399960183</v>
      </c>
      <c r="C14">
        <v>-6.9360443380672362E-2</v>
      </c>
      <c r="D14">
        <v>-9.0265258776930217</v>
      </c>
      <c r="E14">
        <v>9.8039206470588239E-2</v>
      </c>
      <c r="F14">
        <v>-5</v>
      </c>
      <c r="G14">
        <v>100</v>
      </c>
    </row>
    <row r="15" spans="1:8" x14ac:dyDescent="0.35">
      <c r="A15">
        <v>36.294117647058826</v>
      </c>
      <c r="B15">
        <v>0.97539293829192553</v>
      </c>
      <c r="C15">
        <v>-8.5588623706572955E-2</v>
      </c>
      <c r="D15">
        <v>-10.029473197436692</v>
      </c>
      <c r="E15">
        <v>9.8039206470588239E-2</v>
      </c>
      <c r="F15">
        <v>-5</v>
      </c>
      <c r="G15">
        <v>100</v>
      </c>
    </row>
    <row r="16" spans="1:8" x14ac:dyDescent="0.35">
      <c r="A16">
        <v>39.823529411764703</v>
      </c>
      <c r="B16">
        <v>1.0717795745295202</v>
      </c>
      <c r="C16">
        <v>-0.10350668531357964</v>
      </c>
      <c r="D16">
        <v>-11.032420517180363</v>
      </c>
      <c r="E16">
        <v>9.8039206470588239E-2</v>
      </c>
      <c r="F16">
        <v>-5</v>
      </c>
      <c r="G16">
        <v>100</v>
      </c>
    </row>
    <row r="17" spans="1:7" x14ac:dyDescent="0.35">
      <c r="A17">
        <v>43.352941176470587</v>
      </c>
      <c r="B17">
        <v>1.1678378090902493</v>
      </c>
      <c r="C17">
        <v>-0.12310913796692982</v>
      </c>
      <c r="D17">
        <v>-12.035367836924031</v>
      </c>
      <c r="E17">
        <v>9.8039206470588239E-2</v>
      </c>
      <c r="F17">
        <v>-5</v>
      </c>
      <c r="G17">
        <v>100</v>
      </c>
    </row>
    <row r="18" spans="1:7" x14ac:dyDescent="0.35">
      <c r="A18">
        <v>46.882352941176471</v>
      </c>
      <c r="B18">
        <v>1.2635382089768286</v>
      </c>
      <c r="C18">
        <v>-0.14438997532121886</v>
      </c>
      <c r="D18">
        <v>-13.038315156667702</v>
      </c>
      <c r="E18">
        <v>9.8039206470588239E-2</v>
      </c>
      <c r="F18">
        <v>-5</v>
      </c>
      <c r="G18">
        <v>100</v>
      </c>
    </row>
    <row r="19" spans="1:7" x14ac:dyDescent="0.35">
      <c r="A19">
        <v>50.411764705882355</v>
      </c>
      <c r="B19">
        <v>1.3588514508353273</v>
      </c>
      <c r="C19">
        <v>-0.16734267676079184</v>
      </c>
      <c r="D19">
        <v>-14.04126247641137</v>
      </c>
      <c r="E19">
        <v>9.8039206470588239E-2</v>
      </c>
      <c r="F19">
        <v>-5</v>
      </c>
      <c r="G19">
        <v>100</v>
      </c>
    </row>
    <row r="20" spans="1:7" x14ac:dyDescent="0.35">
      <c r="A20">
        <v>53.941176470588232</v>
      </c>
      <c r="B20">
        <v>1.4537483299400749</v>
      </c>
      <c r="C20">
        <v>-0.1919602093977115</v>
      </c>
      <c r="D20">
        <v>-15.044209796155039</v>
      </c>
      <c r="E20">
        <v>9.8039206470588239E-2</v>
      </c>
      <c r="F20">
        <v>-5</v>
      </c>
      <c r="G20">
        <v>100</v>
      </c>
    </row>
    <row r="21" spans="1:7" x14ac:dyDescent="0.35">
      <c r="A21">
        <v>57.470588235294116</v>
      </c>
      <c r="B21">
        <v>1.5481997691422169</v>
      </c>
      <c r="C21">
        <v>-0.21823503022669025</v>
      </c>
      <c r="D21">
        <v>-16.04715711589871</v>
      </c>
      <c r="E21">
        <v>9.8039206470588239E-2</v>
      </c>
      <c r="F21">
        <v>-5</v>
      </c>
      <c r="G21">
        <v>100</v>
      </c>
    </row>
    <row r="22" spans="1:7" x14ac:dyDescent="0.35">
      <c r="A22">
        <v>61</v>
      </c>
      <c r="B22">
        <v>1.6421768277791833</v>
      </c>
      <c r="C22">
        <v>-0.24615908843632436</v>
      </c>
      <c r="D22">
        <v>-17.050104435642378</v>
      </c>
      <c r="E22">
        <v>9.8039206470588239E-2</v>
      </c>
      <c r="F22">
        <v>-5</v>
      </c>
      <c r="G22">
        <v>100</v>
      </c>
    </row>
    <row r="23" spans="1:7" x14ac:dyDescent="0.35">
      <c r="A23">
        <v>64.529411764705884</v>
      </c>
      <c r="B23">
        <v>1.7356507105423333</v>
      </c>
      <c r="C23">
        <v>-0.27572382787592981</v>
      </c>
      <c r="D23">
        <v>-18.053051755386047</v>
      </c>
      <c r="E23">
        <v>9.8039206470588239E-2</v>
      </c>
      <c r="F23">
        <v>-5</v>
      </c>
      <c r="G23">
        <v>100</v>
      </c>
    </row>
    <row r="24" spans="1:7" x14ac:dyDescent="0.35">
      <c r="A24">
        <v>68.058823529411768</v>
      </c>
      <c r="B24">
        <v>1.8285927763000649</v>
      </c>
      <c r="C24">
        <v>-0.3069201896772103</v>
      </c>
      <c r="D24">
        <v>-19.055999075129719</v>
      </c>
      <c r="E24">
        <v>9.8039206470588239E-2</v>
      </c>
      <c r="F24">
        <v>-5</v>
      </c>
      <c r="G24">
        <v>100</v>
      </c>
    </row>
    <row r="25" spans="1:7" x14ac:dyDescent="0.35">
      <c r="A25">
        <v>71.588235294117652</v>
      </c>
      <c r="B25">
        <v>1.9209745468736816</v>
      </c>
      <c r="C25">
        <v>-0.33973861502996694</v>
      </c>
      <c r="D25">
        <v>-20.058946394873388</v>
      </c>
      <c r="E25">
        <v>9.8039206470588239E-2</v>
      </c>
      <c r="F25">
        <v>-5</v>
      </c>
      <c r="G25">
        <v>100</v>
      </c>
    </row>
    <row r="26" spans="1:7" x14ac:dyDescent="0.35">
      <c r="A26">
        <v>75.117647058823536</v>
      </c>
      <c r="B26">
        <v>2.0127677157633319</v>
      </c>
      <c r="C26">
        <v>-0.374169048110994</v>
      </c>
      <c r="D26">
        <v>-21.061893714617057</v>
      </c>
      <c r="E26">
        <v>9.8039206470588239E-2</v>
      </c>
      <c r="F26">
        <v>-5</v>
      </c>
      <c r="G26">
        <v>100</v>
      </c>
    </row>
    <row r="27" spans="1:7" x14ac:dyDescent="0.35">
      <c r="A27">
        <v>78.647058823529406</v>
      </c>
      <c r="B27">
        <v>2.1039441568213402</v>
      </c>
      <c r="C27">
        <v>-0.41020093916525818</v>
      </c>
      <c r="D27">
        <v>-22.064841034360729</v>
      </c>
      <c r="E27">
        <v>9.8039206470588239E-2</v>
      </c>
      <c r="F27">
        <v>-5</v>
      </c>
      <c r="G27">
        <v>100</v>
      </c>
    </row>
    <row r="28" spans="1:7" x14ac:dyDescent="0.35">
      <c r="A28">
        <v>82.17647058823529</v>
      </c>
      <c r="B28">
        <v>2.1944759328702821</v>
      </c>
      <c r="C28">
        <v>-0.44782324773843313</v>
      </c>
      <c r="D28">
        <v>-23.067788354104398</v>
      </c>
      <c r="E28">
        <v>9.8039206470588239E-2</v>
      </c>
      <c r="F28">
        <v>-5</v>
      </c>
      <c r="G28">
        <v>100</v>
      </c>
    </row>
    <row r="29" spans="1:7" x14ac:dyDescent="0.35">
      <c r="A29">
        <v>85.705882352941174</v>
      </c>
      <c r="B29">
        <v>2.2843353042631525</v>
      </c>
      <c r="C29">
        <v>-0.48702444605977357</v>
      </c>
      <c r="D29">
        <v>-24.070735673848066</v>
      </c>
      <c r="E29">
        <v>9.8039206470588239E-2</v>
      </c>
      <c r="F29">
        <v>-5</v>
      </c>
      <c r="G29">
        <v>100</v>
      </c>
    </row>
    <row r="30" spans="1:7" x14ac:dyDescent="0.35">
      <c r="A30">
        <v>89.235294117647058</v>
      </c>
      <c r="B30">
        <v>2.3734947373830133</v>
      </c>
      <c r="C30">
        <v>-0.5277925225743203</v>
      </c>
      <c r="D30">
        <v>-25.073682993591735</v>
      </c>
      <c r="E30">
        <v>9.8039206470588239E-2</v>
      </c>
      <c r="F30">
        <v>-5</v>
      </c>
      <c r="G30">
        <v>100</v>
      </c>
    </row>
    <row r="31" spans="1:7" x14ac:dyDescent="0.35">
      <c r="A31">
        <v>92.764705882352942</v>
      </c>
      <c r="B31">
        <v>2.4619269130795085</v>
      </c>
      <c r="C31">
        <v>-0.57011498562333329</v>
      </c>
      <c r="D31">
        <v>-26.076630313335407</v>
      </c>
      <c r="E31">
        <v>9.8039206470588239E-2</v>
      </c>
      <c r="F31">
        <v>-5</v>
      </c>
      <c r="G31">
        <v>100</v>
      </c>
    </row>
    <row r="32" spans="1:7" x14ac:dyDescent="0.35">
      <c r="A32">
        <v>96.294117647058826</v>
      </c>
      <c r="B32">
        <v>2.5496047350396669</v>
      </c>
      <c r="C32">
        <v>-0.61397886727183359</v>
      </c>
      <c r="D32">
        <v>-27.079577633079076</v>
      </c>
      <c r="E32">
        <v>9.8039206470588239E-2</v>
      </c>
      <c r="F32">
        <v>-5</v>
      </c>
      <c r="G32">
        <v>100</v>
      </c>
    </row>
    <row r="33" spans="1:8" x14ac:dyDescent="0.35">
      <c r="A33">
        <v>99.82352941176471</v>
      </c>
      <c r="B33">
        <v>2.636501338090425</v>
      </c>
      <c r="C33">
        <v>-0.65937072728208024</v>
      </c>
      <c r="D33">
        <v>-28.082524952822745</v>
      </c>
      <c r="E33">
        <v>9.8039206470588239E-2</v>
      </c>
      <c r="F33">
        <v>-5</v>
      </c>
      <c r="G33">
        <v>100</v>
      </c>
    </row>
    <row r="34" spans="1:8" x14ac:dyDescent="0.35">
      <c r="A34">
        <v>103.35294117647059</v>
      </c>
      <c r="B34">
        <v>2.7225900964303271</v>
      </c>
      <c r="C34">
        <v>-0.70627665723176603</v>
      </c>
      <c r="D34">
        <v>-29.085472272566417</v>
      </c>
      <c r="E34">
        <v>9.8039206470588239E-2</v>
      </c>
      <c r="F34">
        <v>-5</v>
      </c>
      <c r="G34">
        <v>100</v>
      </c>
    </row>
    <row r="35" spans="1:8" x14ac:dyDescent="0.35">
      <c r="A35">
        <v>106.88235294117646</v>
      </c>
      <c r="B35">
        <v>2.8078446317878796</v>
      </c>
      <c r="C35">
        <v>-0.7546822847756649</v>
      </c>
      <c r="D35">
        <v>-30.088419592310085</v>
      </c>
      <c r="E35">
        <v>9.8039206470588239E-2</v>
      </c>
      <c r="F35">
        <v>-5</v>
      </c>
      <c r="G35">
        <v>100</v>
      </c>
    </row>
    <row r="36" spans="1:8" x14ac:dyDescent="0.35">
      <c r="A36">
        <v>110.41176470588235</v>
      </c>
      <c r="B36">
        <v>2.8922388215040611</v>
      </c>
      <c r="C36">
        <v>-0.80457277804943428</v>
      </c>
      <c r="D36">
        <v>-31.091366912053754</v>
      </c>
      <c r="E36">
        <v>9.8039206470588239E-2</v>
      </c>
      <c r="F36">
        <v>-5</v>
      </c>
      <c r="G36">
        <v>100</v>
      </c>
    </row>
    <row r="37" spans="1:8" x14ac:dyDescent="0.35">
      <c r="A37">
        <v>113.94117647058823</v>
      </c>
      <c r="B37">
        <v>2.9757468065365096</v>
      </c>
      <c r="C37">
        <v>-0.85593285021421317</v>
      </c>
      <c r="D37">
        <v>-32.094314231797426</v>
      </c>
      <c r="E37">
        <v>9.8039206470588239E-2</v>
      </c>
      <c r="F37">
        <v>-5</v>
      </c>
      <c r="G37">
        <v>100</v>
      </c>
    </row>
    <row r="38" spans="1:8" x14ac:dyDescent="0.35">
      <c r="A38">
        <v>117.47058823529412</v>
      </c>
      <c r="B38">
        <v>3.0583429993829361</v>
      </c>
      <c r="C38">
        <v>-0.90874676414062827</v>
      </c>
      <c r="D38">
        <v>-33.097261551541095</v>
      </c>
      <c r="E38">
        <v>9.8039206470588239E-2</v>
      </c>
      <c r="F38">
        <v>-5</v>
      </c>
      <c r="G38">
        <v>100</v>
      </c>
    </row>
    <row r="39" spans="1:8" x14ac:dyDescent="0.35">
      <c r="A39">
        <v>121</v>
      </c>
      <c r="B39">
        <v>3.1400020919213363</v>
      </c>
      <c r="C39">
        <v>-0.96299833723077777</v>
      </c>
      <c r="D39">
        <v>-34.100208871284764</v>
      </c>
      <c r="E39">
        <v>9.8039206470588239E-2</v>
      </c>
      <c r="F39">
        <v>-5</v>
      </c>
      <c r="G39">
        <v>100</v>
      </c>
      <c r="H39">
        <v>6</v>
      </c>
    </row>
    <row r="40" spans="1:8" x14ac:dyDescent="0.35">
      <c r="A40">
        <v>301</v>
      </c>
      <c r="B40">
        <v>7.2802938937669639</v>
      </c>
      <c r="C40">
        <v>-3.7662086389331058</v>
      </c>
      <c r="D40">
        <v>-34.100208871284764</v>
      </c>
      <c r="E40">
        <v>5.0000004200000001</v>
      </c>
      <c r="F40">
        <v>0</v>
      </c>
      <c r="G40">
        <v>100</v>
      </c>
      <c r="H40">
        <v>7</v>
      </c>
    </row>
    <row r="41" spans="1:8" x14ac:dyDescent="0.35">
      <c r="A41">
        <v>304.52941176470586</v>
      </c>
      <c r="B41">
        <v>7.360990879287189</v>
      </c>
      <c r="C41">
        <v>-3.8218812581142214</v>
      </c>
      <c r="D41">
        <v>-35.103156369553076</v>
      </c>
      <c r="E41">
        <v>9.8039223921568636E-2</v>
      </c>
      <c r="F41">
        <v>-5</v>
      </c>
      <c r="G41">
        <v>100</v>
      </c>
    </row>
    <row r="42" spans="1:8" x14ac:dyDescent="0.35">
      <c r="A42">
        <v>308.05882352941177</v>
      </c>
      <c r="B42">
        <v>7.4407010169710004</v>
      </c>
      <c r="C42">
        <v>-3.8789578553232773</v>
      </c>
      <c r="D42">
        <v>-36.106103867821382</v>
      </c>
      <c r="E42">
        <v>9.8039223921568636E-2</v>
      </c>
      <c r="F42">
        <v>-5</v>
      </c>
      <c r="G42">
        <v>100</v>
      </c>
    </row>
    <row r="43" spans="1:8" x14ac:dyDescent="0.35">
      <c r="A43">
        <v>311.58823529411762</v>
      </c>
      <c r="B43">
        <v>7.5193998829976607</v>
      </c>
      <c r="C43">
        <v>-3.9374209418365171</v>
      </c>
      <c r="D43">
        <v>-37.109051366089687</v>
      </c>
      <c r="E43">
        <v>9.8039223921568636E-2</v>
      </c>
      <c r="F43">
        <v>-5</v>
      </c>
      <c r="G43">
        <v>100</v>
      </c>
    </row>
    <row r="44" spans="1:8" x14ac:dyDescent="0.35">
      <c r="A44">
        <v>315.11764705882354</v>
      </c>
      <c r="B44">
        <v>7.5970633634081217</v>
      </c>
      <c r="C44">
        <v>-3.9972526040988252</v>
      </c>
      <c r="D44">
        <v>-38.111998864357993</v>
      </c>
      <c r="E44">
        <v>9.8039223921568636E-2</v>
      </c>
      <c r="F44">
        <v>-5</v>
      </c>
      <c r="G44">
        <v>100</v>
      </c>
    </row>
    <row r="45" spans="1:8" x14ac:dyDescent="0.35">
      <c r="A45">
        <v>318.64705882352939</v>
      </c>
      <c r="B45">
        <v>7.6736676614937265</v>
      </c>
      <c r="C45">
        <v>-4.0584345092125806</v>
      </c>
      <c r="D45">
        <v>-39.114946362626299</v>
      </c>
      <c r="E45">
        <v>9.8039223921568636E-2</v>
      </c>
      <c r="F45">
        <v>-5</v>
      </c>
      <c r="G45">
        <v>100</v>
      </c>
    </row>
    <row r="46" spans="1:8" x14ac:dyDescent="0.35">
      <c r="A46">
        <v>322.1764705882353</v>
      </c>
      <c r="B46">
        <v>7.7491893050877172</v>
      </c>
      <c r="C46">
        <v>-4.1209479105550058</v>
      </c>
      <c r="D46">
        <v>-40.117893860894604</v>
      </c>
      <c r="E46">
        <v>9.8039223921568636E-2</v>
      </c>
      <c r="F46">
        <v>-5</v>
      </c>
      <c r="G46">
        <v>100</v>
      </c>
    </row>
    <row r="47" spans="1:8" x14ac:dyDescent="0.35">
      <c r="A47">
        <v>325.70588235294116</v>
      </c>
      <c r="B47">
        <v>7.8236051537572902</v>
      </c>
      <c r="C47">
        <v>-4.1847736535222761</v>
      </c>
      <c r="D47">
        <v>-41.12084135916291</v>
      </c>
      <c r="E47">
        <v>9.8039223921568636E-2</v>
      </c>
      <c r="F47">
        <v>-5</v>
      </c>
      <c r="G47">
        <v>100</v>
      </c>
    </row>
    <row r="48" spans="1:8" x14ac:dyDescent="0.35">
      <c r="A48">
        <v>329.23529411764707</v>
      </c>
      <c r="B48">
        <v>7.8968924058940093</v>
      </c>
      <c r="C48">
        <v>-4.249892181398649</v>
      </c>
      <c r="D48">
        <v>-42.123788857431215</v>
      </c>
      <c r="E48">
        <v>9.8039223921568636E-2</v>
      </c>
      <c r="F48">
        <v>-5</v>
      </c>
      <c r="G48">
        <v>100</v>
      </c>
    </row>
    <row r="49" spans="1:7" x14ac:dyDescent="0.35">
      <c r="A49">
        <v>332.76470588235293</v>
      </c>
      <c r="B49">
        <v>7.9690286057003998</v>
      </c>
      <c r="C49">
        <v>-4.3162835413487919</v>
      </c>
      <c r="D49">
        <v>-43.126736355699521</v>
      </c>
      <c r="E49">
        <v>9.8039223921568636E-2</v>
      </c>
      <c r="F49">
        <v>-5</v>
      </c>
      <c r="G49">
        <v>100</v>
      </c>
    </row>
    <row r="50" spans="1:7" x14ac:dyDescent="0.35">
      <c r="A50">
        <v>336.29411764705884</v>
      </c>
      <c r="B50">
        <v>8.0399916500705864</v>
      </c>
      <c r="C50">
        <v>-4.3839273905314933</v>
      </c>
      <c r="D50">
        <v>-44.129683853967826</v>
      </c>
      <c r="E50">
        <v>9.8039223921568636E-2</v>
      </c>
      <c r="F50">
        <v>-5</v>
      </c>
      <c r="G50">
        <v>100</v>
      </c>
    </row>
    <row r="51" spans="1:7" x14ac:dyDescent="0.35">
      <c r="A51">
        <v>339.8235294117647</v>
      </c>
      <c r="B51">
        <v>8.1097597953628551</v>
      </c>
      <c r="C51">
        <v>-4.4528030023328684</v>
      </c>
      <c r="D51">
        <v>-45.132631352236132</v>
      </c>
      <c r="E51">
        <v>9.8039223921568636E-2</v>
      </c>
      <c r="F51">
        <v>-5</v>
      </c>
      <c r="G51">
        <v>100</v>
      </c>
    </row>
    <row r="52" spans="1:7" x14ac:dyDescent="0.35">
      <c r="A52">
        <v>343.35294117647061</v>
      </c>
      <c r="B52">
        <v>8.1783116640620843</v>
      </c>
      <c r="C52">
        <v>-4.5228892727171637</v>
      </c>
      <c r="D52">
        <v>-46.135578850504437</v>
      </c>
      <c r="E52">
        <v>9.8039223921568636E-2</v>
      </c>
      <c r="F52">
        <v>-5</v>
      </c>
      <c r="G52">
        <v>100</v>
      </c>
    </row>
    <row r="53" spans="1:7" x14ac:dyDescent="0.35">
      <c r="A53">
        <v>346.88235294117646</v>
      </c>
      <c r="B53">
        <v>8.2456262513299823</v>
      </c>
      <c r="C53">
        <v>-4.5941647266931964</v>
      </c>
      <c r="D53">
        <v>-47.138526348772743</v>
      </c>
      <c r="E53">
        <v>9.8039223921568636E-2</v>
      </c>
      <c r="F53">
        <v>-5</v>
      </c>
      <c r="G53">
        <v>100</v>
      </c>
    </row>
    <row r="54" spans="1:7" x14ac:dyDescent="0.35">
      <c r="A54">
        <v>350.41176470588238</v>
      </c>
      <c r="B54">
        <v>8.3116829314411387</v>
      </c>
      <c r="C54">
        <v>-4.6666075248944621</v>
      </c>
      <c r="D54">
        <v>-48.141473847041048</v>
      </c>
      <c r="E54">
        <v>9.8039223921568636E-2</v>
      </c>
      <c r="F54">
        <v>-5</v>
      </c>
      <c r="G54">
        <v>100</v>
      </c>
    </row>
    <row r="55" spans="1:7" x14ac:dyDescent="0.35">
      <c r="A55">
        <v>353.94117647058823</v>
      </c>
      <c r="B55">
        <v>8.3764614641029063</v>
      </c>
      <c r="C55">
        <v>-4.7401954702708968</v>
      </c>
      <c r="D55">
        <v>-49.144421345309354</v>
      </c>
      <c r="E55">
        <v>9.8039223921568636E-2</v>
      </c>
      <c r="F55">
        <v>-5</v>
      </c>
      <c r="G55">
        <v>100</v>
      </c>
    </row>
    <row r="56" spans="1:7" x14ac:dyDescent="0.35">
      <c r="A56">
        <v>357.47058823529414</v>
      </c>
      <c r="B56">
        <v>8.4399420006571955</v>
      </c>
      <c r="C56">
        <v>-4.8149060148902239</v>
      </c>
      <c r="D56">
        <v>-50.147368843577659</v>
      </c>
      <c r="E56">
        <v>9.8039223921568636E-2</v>
      </c>
      <c r="F56">
        <v>-5</v>
      </c>
      <c r="G56">
        <v>100</v>
      </c>
    </row>
    <row r="57" spans="1:7" x14ac:dyDescent="0.35">
      <c r="A57">
        <v>361</v>
      </c>
      <c r="B57">
        <v>8.5021050901622548</v>
      </c>
      <c r="C57">
        <v>-4.8907162668468214</v>
      </c>
      <c r="D57">
        <v>-51.150316341845965</v>
      </c>
      <c r="E57">
        <v>9.8039223921568636E-2</v>
      </c>
      <c r="F57">
        <v>-5</v>
      </c>
      <c r="G57">
        <v>100</v>
      </c>
    </row>
    <row r="58" spans="1:7" x14ac:dyDescent="0.35">
      <c r="A58">
        <v>364.52941176470586</v>
      </c>
      <c r="B58">
        <v>8.5629316853525967</v>
      </c>
      <c r="C58">
        <v>-4.9676029972759865</v>
      </c>
      <c r="D58">
        <v>-52.153263840114271</v>
      </c>
      <c r="E58">
        <v>9.8039223921568636E-2</v>
      </c>
      <c r="F58">
        <v>-5</v>
      </c>
      <c r="G58">
        <v>100</v>
      </c>
    </row>
    <row r="59" spans="1:7" x14ac:dyDescent="0.35">
      <c r="A59">
        <v>368.05882352941177</v>
      </c>
      <c r="B59">
        <v>8.6224031484752324</v>
      </c>
      <c r="C59">
        <v>-5.045542647471442</v>
      </c>
      <c r="D59">
        <v>-53.156211338382576</v>
      </c>
      <c r="E59">
        <v>9.8039223921568636E-2</v>
      </c>
      <c r="F59">
        <v>-5</v>
      </c>
      <c r="G59">
        <v>100</v>
      </c>
    </row>
    <row r="60" spans="1:7" x14ac:dyDescent="0.35">
      <c r="A60">
        <v>371.58823529411762</v>
      </c>
      <c r="B60">
        <v>8.6805012570004241</v>
      </c>
      <c r="C60">
        <v>-5.124511336103911</v>
      </c>
      <c r="D60">
        <v>-54.159158836650882</v>
      </c>
      <c r="E60">
        <v>9.8039223921568636E-2</v>
      </c>
      <c r="F60">
        <v>-5</v>
      </c>
      <c r="G60">
        <v>100</v>
      </c>
    </row>
    <row r="61" spans="1:7" x14ac:dyDescent="0.35">
      <c r="A61">
        <v>375.11764705882354</v>
      </c>
      <c r="B61">
        <v>8.7372082092052175</v>
      </c>
      <c r="C61">
        <v>-5.204484866538551</v>
      </c>
      <c r="D61">
        <v>-55.162106334919194</v>
      </c>
      <c r="E61">
        <v>9.8039223921568636E-2</v>
      </c>
      <c r="F61">
        <v>-5</v>
      </c>
      <c r="G61">
        <v>100</v>
      </c>
    </row>
    <row r="62" spans="1:7" x14ac:dyDescent="0.35">
      <c r="A62">
        <v>378.64705882352939</v>
      </c>
      <c r="B62">
        <v>8.7925066296280292</v>
      </c>
      <c r="C62">
        <v>-5.285438734248987</v>
      </c>
      <c r="D62">
        <v>-56.1650538331875</v>
      </c>
      <c r="E62">
        <v>9.8039223921568636E-2</v>
      </c>
      <c r="F62">
        <v>-5</v>
      </c>
      <c r="G62">
        <v>100</v>
      </c>
    </row>
    <row r="63" spans="1:7" x14ac:dyDescent="0.35">
      <c r="A63">
        <v>382.1764705882353</v>
      </c>
      <c r="B63">
        <v>8.8463795743926248</v>
      </c>
      <c r="C63">
        <v>-5.3673481343257041</v>
      </c>
      <c r="D63">
        <v>-57.168001331455805</v>
      </c>
      <c r="E63">
        <v>9.8039223921568636E-2</v>
      </c>
      <c r="F63">
        <v>-5</v>
      </c>
      <c r="G63">
        <v>100</v>
      </c>
    </row>
    <row r="64" spans="1:7" x14ac:dyDescent="0.35">
      <c r="A64">
        <v>385.70588235294116</v>
      </c>
      <c r="B64">
        <v>8.8988105363998624</v>
      </c>
      <c r="C64">
        <v>-5.4501879690764596</v>
      </c>
      <c r="D64">
        <v>-58.170948829724111</v>
      </c>
      <c r="E64">
        <v>9.8039223921568636E-2</v>
      </c>
      <c r="F64">
        <v>-5</v>
      </c>
      <c r="G64">
        <v>100</v>
      </c>
    </row>
    <row r="65" spans="1:7" x14ac:dyDescent="0.35">
      <c r="A65">
        <v>389.23529411764707</v>
      </c>
      <c r="B65">
        <v>8.9497834503855955</v>
      </c>
      <c r="C65">
        <v>-5.5339328557164205</v>
      </c>
      <c r="D65">
        <v>-59.173896327992416</v>
      </c>
      <c r="E65">
        <v>9.8039223921568636E-2</v>
      </c>
      <c r="F65">
        <v>-5</v>
      </c>
      <c r="G65">
        <v>100</v>
      </c>
    </row>
    <row r="66" spans="1:7" x14ac:dyDescent="0.35">
      <c r="A66">
        <v>392.76470588235293</v>
      </c>
      <c r="B66">
        <v>8.9992826978431957</v>
      </c>
      <c r="C66">
        <v>-5.6185571341456519</v>
      </c>
      <c r="D66">
        <v>-60.176843826260722</v>
      </c>
      <c r="E66">
        <v>9.8039223921568636E-2</v>
      </c>
      <c r="F66">
        <v>-5</v>
      </c>
      <c r="G66">
        <v>100</v>
      </c>
    </row>
    <row r="67" spans="1:7" x14ac:dyDescent="0.35">
      <c r="A67">
        <v>396.29411764705884</v>
      </c>
      <c r="B67">
        <v>9.0472931118091946</v>
      </c>
      <c r="C67">
        <v>-5.7040348748115726</v>
      </c>
      <c r="D67">
        <v>-61.179791324529027</v>
      </c>
      <c r="E67">
        <v>9.8039223921568636E-2</v>
      </c>
      <c r="F67">
        <v>-5</v>
      </c>
      <c r="G67">
        <v>100</v>
      </c>
    </row>
    <row r="68" spans="1:7" x14ac:dyDescent="0.35">
      <c r="A68">
        <v>399.8235294117647</v>
      </c>
      <c r="B68">
        <v>9.0937999815105535</v>
      </c>
      <c r="C68">
        <v>-5.7903398866539781</v>
      </c>
      <c r="D68">
        <v>-62.182738822797333</v>
      </c>
      <c r="E68">
        <v>9.8039223921568636E-2</v>
      </c>
      <c r="F68">
        <v>-5</v>
      </c>
      <c r="G68">
        <v>100</v>
      </c>
    </row>
    <row r="69" spans="1:7" x14ac:dyDescent="0.35">
      <c r="A69">
        <v>403.35294117647061</v>
      </c>
      <c r="B69">
        <v>9.1387890568721684</v>
      </c>
      <c r="C69">
        <v>-5.8774457251301895</v>
      </c>
      <c r="D69">
        <v>-63.185686321065639</v>
      </c>
      <c r="E69">
        <v>9.8039223921568636E-2</v>
      </c>
      <c r="F69">
        <v>-5</v>
      </c>
      <c r="G69">
        <v>100</v>
      </c>
    </row>
    <row r="70" spans="1:7" x14ac:dyDescent="0.35">
      <c r="A70">
        <v>406.88235294117646</v>
      </c>
      <c r="B70">
        <v>9.1822465528832033</v>
      </c>
      <c r="C70">
        <v>-5.9653257003178721</v>
      </c>
      <c r="D70">
        <v>-64.188633819333944</v>
      </c>
      <c r="E70">
        <v>9.8039223921568636E-2</v>
      </c>
      <c r="F70">
        <v>-5</v>
      </c>
      <c r="G70">
        <v>100</v>
      </c>
    </row>
    <row r="71" spans="1:7" x14ac:dyDescent="0.35">
      <c r="A71">
        <v>410.41176470588238</v>
      </c>
      <c r="B71">
        <v>9.224159153820926</v>
      </c>
      <c r="C71">
        <v>-6.0539528850930413</v>
      </c>
      <c r="D71">
        <v>-65.191581317602243</v>
      </c>
      <c r="E71">
        <v>9.8039223921568636E-2</v>
      </c>
      <c r="F71">
        <v>-5</v>
      </c>
      <c r="G71">
        <v>100</v>
      </c>
    </row>
    <row r="72" spans="1:7" x14ac:dyDescent="0.35">
      <c r="A72">
        <v>413.94117647058823</v>
      </c>
      <c r="B72">
        <v>9.2645140173307574</v>
      </c>
      <c r="C72">
        <v>-6.1433001233807456</v>
      </c>
      <c r="D72">
        <v>-66.194528815870555</v>
      </c>
      <c r="E72">
        <v>9.8039223921568636E-2</v>
      </c>
      <c r="F72">
        <v>-5</v>
      </c>
      <c r="G72">
        <v>100</v>
      </c>
    </row>
    <row r="73" spans="1:7" x14ac:dyDescent="0.35">
      <c r="A73">
        <v>417.47058823529414</v>
      </c>
      <c r="B73">
        <v>9.3032987783612615</v>
      </c>
      <c r="C73">
        <v>-6.2333400384759052</v>
      </c>
      <c r="D73">
        <v>-67.197476314138854</v>
      </c>
      <c r="E73">
        <v>9.8039223921568636E-2</v>
      </c>
      <c r="F73">
        <v>-5</v>
      </c>
      <c r="G73">
        <v>100</v>
      </c>
    </row>
    <row r="74" spans="1:7" x14ac:dyDescent="0.35">
      <c r="A74">
        <v>421</v>
      </c>
      <c r="B74">
        <v>9.3405015529529063</v>
      </c>
      <c r="C74">
        <v>-6.3240450414317522</v>
      </c>
      <c r="D74">
        <v>-68.200423812407166</v>
      </c>
      <c r="E74">
        <v>9.8039223921568636E-2</v>
      </c>
      <c r="F74">
        <v>-5</v>
      </c>
      <c r="G74">
        <v>100</v>
      </c>
    </row>
    <row r="75" spans="1:7" x14ac:dyDescent="0.35">
      <c r="A75">
        <v>424.52941176470586</v>
      </c>
      <c r="B75">
        <v>9.3761109418793946</v>
      </c>
      <c r="C75">
        <v>-6.4153873395133036</v>
      </c>
      <c r="D75">
        <v>-69.203371310675465</v>
      </c>
      <c r="E75">
        <v>9.8039223921568636E-2</v>
      </c>
      <c r="F75">
        <v>-5</v>
      </c>
      <c r="G75">
        <v>100</v>
      </c>
    </row>
    <row r="76" spans="1:7" x14ac:dyDescent="0.35">
      <c r="A76">
        <v>428.05882352941177</v>
      </c>
      <c r="B76">
        <v>9.4101160341404828</v>
      </c>
      <c r="C76">
        <v>-6.5073389447132763</v>
      </c>
      <c r="D76">
        <v>-70.206318808943777</v>
      </c>
      <c r="E76">
        <v>9.8039223921568636E-2</v>
      </c>
      <c r="F76">
        <v>-5</v>
      </c>
      <c r="G76">
        <v>100</v>
      </c>
    </row>
    <row r="77" spans="1:7" x14ac:dyDescent="0.35">
      <c r="A77">
        <v>431.58823529411762</v>
      </c>
      <c r="B77">
        <v>9.4425064103051977</v>
      </c>
      <c r="C77">
        <v>-6.5998716823278372</v>
      </c>
      <c r="D77">
        <v>-71.20926630721209</v>
      </c>
      <c r="E77">
        <v>9.8039223921568636E-2</v>
      </c>
      <c r="F77">
        <v>-5</v>
      </c>
      <c r="G77">
        <v>100</v>
      </c>
    </row>
    <row r="78" spans="1:7" x14ac:dyDescent="0.35">
      <c r="A78">
        <v>435.11764705882354</v>
      </c>
      <c r="B78">
        <v>9.4732721457044313</v>
      </c>
      <c r="C78">
        <v>-6.6929571995895536</v>
      </c>
      <c r="D78">
        <v>-72.212213805480388</v>
      </c>
      <c r="E78">
        <v>9.8039223921568636E-2</v>
      </c>
      <c r="F78">
        <v>-5</v>
      </c>
      <c r="G78">
        <v>100</v>
      </c>
    </row>
    <row r="79" spans="1:7" x14ac:dyDescent="0.35">
      <c r="A79">
        <v>438.64705882352939</v>
      </c>
      <c r="B79">
        <v>9.5024038134719397</v>
      </c>
      <c r="C79">
        <v>-6.7865669743549075</v>
      </c>
      <c r="D79">
        <v>-73.215161303748701</v>
      </c>
      <c r="E79">
        <v>9.8039223921568636E-2</v>
      </c>
      <c r="F79">
        <v>-5</v>
      </c>
      <c r="G79">
        <v>100</v>
      </c>
    </row>
    <row r="80" spans="1:7" x14ac:dyDescent="0.35">
      <c r="A80">
        <v>442.1764705882353</v>
      </c>
      <c r="B80">
        <v>9.5298924874328108</v>
      </c>
      <c r="C80">
        <v>-6.8806723238437106</v>
      </c>
      <c r="D80">
        <v>-74.218108802016999</v>
      </c>
      <c r="E80">
        <v>9.8039223921568636E-2</v>
      </c>
      <c r="F80">
        <v>-5</v>
      </c>
      <c r="G80">
        <v>100</v>
      </c>
    </row>
    <row r="81" spans="1:8" x14ac:dyDescent="0.35">
      <c r="A81">
        <v>445.70588235294116</v>
      </c>
      <c r="B81">
        <v>9.5557297448385121</v>
      </c>
      <c r="C81">
        <v>-6.9752444134277329</v>
      </c>
      <c r="D81">
        <v>-75.221056300285312</v>
      </c>
      <c r="E81">
        <v>9.8039223921568636E-2</v>
      </c>
      <c r="F81">
        <v>-5</v>
      </c>
      <c r="G81">
        <v>100</v>
      </c>
    </row>
    <row r="82" spans="1:8" x14ac:dyDescent="0.35">
      <c r="A82">
        <v>449.23529411764707</v>
      </c>
      <c r="B82">
        <v>9.5799076689476923</v>
      </c>
      <c r="C82">
        <v>-7.0702542654658647</v>
      </c>
      <c r="D82">
        <v>-76.224003798553611</v>
      </c>
      <c r="E82">
        <v>9.8039223921568636E-2</v>
      </c>
      <c r="F82">
        <v>-5</v>
      </c>
      <c r="G82">
        <v>100</v>
      </c>
    </row>
    <row r="83" spans="1:8" x14ac:dyDescent="0.35">
      <c r="A83">
        <v>452.76470588235293</v>
      </c>
      <c r="B83">
        <v>9.6024188514519313</v>
      </c>
      <c r="C83">
        <v>-7.165672768183093</v>
      </c>
      <c r="D83">
        <v>-77.226951296821923</v>
      </c>
      <c r="E83">
        <v>9.8039223921568636E-2</v>
      </c>
      <c r="F83">
        <v>-5</v>
      </c>
      <c r="G83">
        <v>100</v>
      </c>
    </row>
    <row r="84" spans="1:8" x14ac:dyDescent="0.35">
      <c r="A84">
        <v>456.29411764705884</v>
      </c>
      <c r="B84">
        <v>9.6232563947457024</v>
      </c>
      <c r="C84">
        <v>-7.2614706845905861</v>
      </c>
      <c r="D84">
        <v>-78.229898795090222</v>
      </c>
      <c r="E84">
        <v>9.8039223921568636E-2</v>
      </c>
      <c r="F84">
        <v>-5</v>
      </c>
      <c r="G84">
        <v>100</v>
      </c>
    </row>
    <row r="85" spans="1:8" x14ac:dyDescent="0.35">
      <c r="A85">
        <v>459.8235294117647</v>
      </c>
      <c r="B85">
        <v>9.6424139140398601</v>
      </c>
      <c r="C85">
        <v>-7.3576186614441363</v>
      </c>
      <c r="D85">
        <v>-79.232846293358534</v>
      </c>
      <c r="E85">
        <v>9.8039223921568636E-2</v>
      </c>
      <c r="F85">
        <v>-5</v>
      </c>
      <c r="G85">
        <v>100</v>
      </c>
    </row>
    <row r="86" spans="1:8" x14ac:dyDescent="0.35">
      <c r="A86">
        <v>463.35294117647061</v>
      </c>
      <c r="B86">
        <v>9.659885539317985</v>
      </c>
      <c r="C86">
        <v>-7.4540872382382286</v>
      </c>
      <c r="D86">
        <v>-80.235793791626833</v>
      </c>
      <c r="E86">
        <v>9.8039223921568636E-2</v>
      </c>
      <c r="F86">
        <v>-5</v>
      </c>
      <c r="G86">
        <v>100</v>
      </c>
    </row>
    <row r="87" spans="1:8" x14ac:dyDescent="0.35">
      <c r="A87">
        <v>466.88235294117646</v>
      </c>
      <c r="B87">
        <v>9.6756659171350048</v>
      </c>
      <c r="C87">
        <v>-7.5508468562329742</v>
      </c>
      <c r="D87">
        <v>-81.238741289895145</v>
      </c>
      <c r="E87">
        <v>9.8039223921568636E-2</v>
      </c>
      <c r="F87">
        <v>-5</v>
      </c>
      <c r="G87">
        <v>100</v>
      </c>
    </row>
    <row r="88" spans="1:8" x14ac:dyDescent="0.35">
      <c r="A88">
        <v>470.41176470588238</v>
      </c>
      <c r="B88">
        <v>9.6897502122575325</v>
      </c>
      <c r="C88">
        <v>-7.6478678675111427</v>
      </c>
      <c r="D88">
        <v>-82.241688788163444</v>
      </c>
      <c r="E88">
        <v>9.8039223921568636E-2</v>
      </c>
      <c r="F88">
        <v>-5</v>
      </c>
      <c r="G88">
        <v>100</v>
      </c>
    </row>
    <row r="89" spans="1:8" x14ac:dyDescent="0.35">
      <c r="A89">
        <v>473.94117647058823</v>
      </c>
      <c r="B89">
        <v>9.7021341091454225</v>
      </c>
      <c r="C89">
        <v>-7.7451205440625213</v>
      </c>
      <c r="D89">
        <v>-83.244636286431756</v>
      </c>
      <c r="E89">
        <v>9.8039223921568636E-2</v>
      </c>
      <c r="F89">
        <v>-5</v>
      </c>
      <c r="G89">
        <v>100</v>
      </c>
    </row>
    <row r="90" spans="1:8" x14ac:dyDescent="0.35">
      <c r="A90">
        <v>477.47058823529414</v>
      </c>
      <c r="B90">
        <v>9.7128138132740833</v>
      </c>
      <c r="C90">
        <v>-7.842575086892813</v>
      </c>
      <c r="D90">
        <v>-84.247583784700055</v>
      </c>
      <c r="E90">
        <v>9.8039223921568636E-2</v>
      </c>
      <c r="F90">
        <v>-5</v>
      </c>
      <c r="G90">
        <v>100</v>
      </c>
    </row>
    <row r="91" spans="1:8" x14ac:dyDescent="0.35">
      <c r="A91">
        <v>481</v>
      </c>
      <c r="B91">
        <v>9.7217860522971513</v>
      </c>
      <c r="C91">
        <v>-7.9402016351542866</v>
      </c>
      <c r="D91">
        <v>-85.250531282968367</v>
      </c>
      <c r="E91">
        <v>9.8039223921568636E-2</v>
      </c>
      <c r="F91">
        <v>-5</v>
      </c>
      <c r="G91">
        <v>100</v>
      </c>
      <c r="H91">
        <v>8</v>
      </c>
    </row>
    <row r="92" spans="1:8" x14ac:dyDescent="0.35">
      <c r="A92">
        <v>484.5593220338983</v>
      </c>
      <c r="B92">
        <v>9.7300221427584859</v>
      </c>
      <c r="C92">
        <v>-8.0387280312398577</v>
      </c>
      <c r="D92">
        <v>-85.192666258227746</v>
      </c>
      <c r="E92">
        <v>9.8870039661016942E-2</v>
      </c>
      <c r="F92">
        <v>0.28677671664752263</v>
      </c>
      <c r="G92">
        <v>100</v>
      </c>
    </row>
    <row r="93" spans="1:8" x14ac:dyDescent="0.35">
      <c r="A93">
        <v>488.11864406779659</v>
      </c>
      <c r="B93">
        <v>9.7383577342784911</v>
      </c>
      <c r="C93">
        <v>-8.1372460591622122</v>
      </c>
      <c r="D93">
        <v>-85.134801233487124</v>
      </c>
      <c r="E93">
        <v>9.8870039661016942E-2</v>
      </c>
      <c r="F93">
        <v>0.28677671664752263</v>
      </c>
      <c r="G93">
        <v>100</v>
      </c>
    </row>
    <row r="94" spans="1:8" x14ac:dyDescent="0.35">
      <c r="A94">
        <v>491.67796610169489</v>
      </c>
      <c r="B94">
        <v>9.74679281835515</v>
      </c>
      <c r="C94">
        <v>-8.2357556184360092</v>
      </c>
      <c r="D94">
        <v>-85.076936208746503</v>
      </c>
      <c r="E94">
        <v>9.8870039661016942E-2</v>
      </c>
      <c r="F94">
        <v>0.28677671664752263</v>
      </c>
      <c r="G94">
        <v>100</v>
      </c>
    </row>
    <row r="95" spans="1:8" x14ac:dyDescent="0.35">
      <c r="A95">
        <v>495.23728813559325</v>
      </c>
      <c r="B95">
        <v>9.7553273863849093</v>
      </c>
      <c r="C95">
        <v>-8.3342566085845533</v>
      </c>
      <c r="D95">
        <v>-85.019071184005881</v>
      </c>
      <c r="E95">
        <v>9.8870039661016942E-2</v>
      </c>
      <c r="F95">
        <v>0.28677671664752263</v>
      </c>
      <c r="G95">
        <v>100</v>
      </c>
    </row>
    <row r="96" spans="1:8" x14ac:dyDescent="0.35">
      <c r="A96">
        <v>498.79661016949154</v>
      </c>
      <c r="B96">
        <v>9.7639614296627979</v>
      </c>
      <c r="C96">
        <v>-8.4327489291398834</v>
      </c>
      <c r="D96">
        <v>-84.961206159265259</v>
      </c>
      <c r="E96">
        <v>9.8870039661016942E-2</v>
      </c>
      <c r="F96">
        <v>0.28677671664752263</v>
      </c>
      <c r="G96">
        <v>100</v>
      </c>
    </row>
    <row r="97" spans="1:7" x14ac:dyDescent="0.35">
      <c r="A97">
        <v>502.35593220338984</v>
      </c>
      <c r="B97">
        <v>9.7726949393823421</v>
      </c>
      <c r="C97">
        <v>-8.5312324796428829</v>
      </c>
      <c r="D97">
        <v>-84.903341134524638</v>
      </c>
      <c r="E97">
        <v>9.8870039661016942E-2</v>
      </c>
      <c r="F97">
        <v>0.28677671664752263</v>
      </c>
      <c r="G97">
        <v>100</v>
      </c>
    </row>
    <row r="98" spans="1:7" x14ac:dyDescent="0.35">
      <c r="A98">
        <v>505.91525423728814</v>
      </c>
      <c r="B98">
        <v>9.7815279066356506</v>
      </c>
      <c r="C98">
        <v>-8.6297071596433792</v>
      </c>
      <c r="D98">
        <v>-84.845476109784016</v>
      </c>
      <c r="E98">
        <v>9.8870039661016942E-2</v>
      </c>
      <c r="F98">
        <v>0.28677671664752263</v>
      </c>
      <c r="G98">
        <v>100</v>
      </c>
    </row>
    <row r="99" spans="1:7" x14ac:dyDescent="0.35">
      <c r="A99">
        <v>509.47457627118644</v>
      </c>
      <c r="B99">
        <v>9.7904603224133488</v>
      </c>
      <c r="C99">
        <v>-8.7281728687002502</v>
      </c>
      <c r="D99">
        <v>-84.787611085043395</v>
      </c>
      <c r="E99">
        <v>9.8870039661016942E-2</v>
      </c>
      <c r="F99">
        <v>0.28677671664752263</v>
      </c>
      <c r="G99">
        <v>100</v>
      </c>
    </row>
    <row r="100" spans="1:7" x14ac:dyDescent="0.35">
      <c r="A100">
        <v>513.03389830508479</v>
      </c>
      <c r="B100">
        <v>9.7994921776046606</v>
      </c>
      <c r="C100">
        <v>-8.8266295063815221</v>
      </c>
      <c r="D100">
        <v>-84.729746060302773</v>
      </c>
      <c r="E100">
        <v>9.8870039661016942E-2</v>
      </c>
      <c r="F100">
        <v>0.28677671664752263</v>
      </c>
      <c r="G100">
        <v>100</v>
      </c>
    </row>
    <row r="101" spans="1:7" x14ac:dyDescent="0.35">
      <c r="A101">
        <v>516.59322033898309</v>
      </c>
      <c r="B101">
        <v>9.8086234629973763</v>
      </c>
      <c r="C101">
        <v>-8.9250769722644741</v>
      </c>
      <c r="D101">
        <v>-84.671881035562151</v>
      </c>
      <c r="E101">
        <v>9.8870039661016942E-2</v>
      </c>
      <c r="F101">
        <v>0.28677671664752263</v>
      </c>
      <c r="G101">
        <v>100</v>
      </c>
    </row>
    <row r="102" spans="1:7" x14ac:dyDescent="0.35">
      <c r="A102">
        <v>520.15254237288138</v>
      </c>
      <c r="B102">
        <v>9.8178541692778634</v>
      </c>
      <c r="C102">
        <v>-9.0235151659357395</v>
      </c>
      <c r="D102">
        <v>-84.61401601082153</v>
      </c>
      <c r="E102">
        <v>9.8870039661016942E-2</v>
      </c>
      <c r="F102">
        <v>0.28677671664752263</v>
      </c>
      <c r="G102">
        <v>100</v>
      </c>
    </row>
    <row r="103" spans="1:7" x14ac:dyDescent="0.35">
      <c r="A103">
        <v>523.71186440677968</v>
      </c>
      <c r="B103">
        <v>9.8271842870310824</v>
      </c>
      <c r="C103">
        <v>-9.1219439869914094</v>
      </c>
      <c r="D103">
        <v>-84.556150986080908</v>
      </c>
      <c r="E103">
        <v>9.8870039661016942E-2</v>
      </c>
      <c r="F103">
        <v>0.28677671664752263</v>
      </c>
      <c r="G103">
        <v>100</v>
      </c>
    </row>
    <row r="104" spans="1:7" x14ac:dyDescent="0.35">
      <c r="A104">
        <v>527.27118644067798</v>
      </c>
      <c r="B104">
        <v>9.8366138067406084</v>
      </c>
      <c r="C104">
        <v>-9.2203633350371366</v>
      </c>
      <c r="D104">
        <v>-84.498285961340287</v>
      </c>
      <c r="E104">
        <v>9.8870039661016942E-2</v>
      </c>
      <c r="F104">
        <v>0.28677671664752263</v>
      </c>
      <c r="G104">
        <v>100</v>
      </c>
    </row>
    <row r="105" spans="1:7" x14ac:dyDescent="0.35">
      <c r="A105">
        <v>530.83050847457628</v>
      </c>
      <c r="B105">
        <v>9.8461427187886343</v>
      </c>
      <c r="C105">
        <v>-9.318773109688232</v>
      </c>
      <c r="D105">
        <v>-84.440420936599665</v>
      </c>
      <c r="E105">
        <v>9.8870039661016942E-2</v>
      </c>
      <c r="F105">
        <v>0.28677671664752263</v>
      </c>
      <c r="G105">
        <v>100</v>
      </c>
    </row>
    <row r="106" spans="1:7" x14ac:dyDescent="0.35">
      <c r="A106">
        <v>534.38983050847457</v>
      </c>
      <c r="B106">
        <v>9.8557710134559446</v>
      </c>
      <c r="C106">
        <v>-9.4171732105697732</v>
      </c>
      <c r="D106">
        <v>-84.382555911859043</v>
      </c>
      <c r="E106">
        <v>9.8870039661016942E-2</v>
      </c>
      <c r="F106">
        <v>0.28677671664752263</v>
      </c>
      <c r="G106">
        <v>100</v>
      </c>
    </row>
    <row r="107" spans="1:7" x14ac:dyDescent="0.35">
      <c r="A107">
        <v>537.94915254237287</v>
      </c>
      <c r="B107">
        <v>9.865498680921986</v>
      </c>
      <c r="C107">
        <v>-9.5155635373167069</v>
      </c>
      <c r="D107">
        <v>-84.324690887118422</v>
      </c>
      <c r="E107">
        <v>9.8870039661016942E-2</v>
      </c>
      <c r="F107">
        <v>0.28677671664752263</v>
      </c>
      <c r="G107">
        <v>100</v>
      </c>
    </row>
    <row r="108" spans="1:7" x14ac:dyDescent="0.35">
      <c r="A108">
        <v>541.50847457627117</v>
      </c>
      <c r="B108">
        <v>9.8753257112648285</v>
      </c>
      <c r="C108">
        <v>-9.6139439895739454</v>
      </c>
      <c r="D108">
        <v>-84.266825862377814</v>
      </c>
      <c r="E108">
        <v>9.8870039661016942E-2</v>
      </c>
      <c r="F108">
        <v>0.28677671664752263</v>
      </c>
      <c r="G108">
        <v>100</v>
      </c>
    </row>
    <row r="109" spans="1:7" x14ac:dyDescent="0.35">
      <c r="A109">
        <v>545.06779661016947</v>
      </c>
      <c r="B109">
        <v>9.8852520944612277</v>
      </c>
      <c r="C109">
        <v>-9.7123144669964745</v>
      </c>
      <c r="D109">
        <v>-84.208960837637193</v>
      </c>
      <c r="E109">
        <v>9.8870039661016942E-2</v>
      </c>
      <c r="F109">
        <v>0.28677671664752263</v>
      </c>
      <c r="G109">
        <v>100</v>
      </c>
    </row>
    <row r="110" spans="1:7" x14ac:dyDescent="0.35">
      <c r="A110">
        <v>548.62711864406776</v>
      </c>
      <c r="B110">
        <v>9.8952778203865712</v>
      </c>
      <c r="C110">
        <v>-9.8106748692494552</v>
      </c>
      <c r="D110">
        <v>-84.151095812896571</v>
      </c>
      <c r="E110">
        <v>9.8870039661016942E-2</v>
      </c>
      <c r="F110">
        <v>0.28677671664752263</v>
      </c>
      <c r="G110">
        <v>100</v>
      </c>
    </row>
    <row r="111" spans="1:7" x14ac:dyDescent="0.35">
      <c r="A111">
        <v>552.18644067796606</v>
      </c>
      <c r="B111">
        <v>9.9054028788149111</v>
      </c>
      <c r="C111">
        <v>-9.9090250960083228</v>
      </c>
      <c r="D111">
        <v>-84.09323078815595</v>
      </c>
      <c r="E111">
        <v>9.8870039661016942E-2</v>
      </c>
      <c r="F111">
        <v>0.28677671664752263</v>
      </c>
      <c r="G111">
        <v>100</v>
      </c>
    </row>
    <row r="112" spans="1:7" x14ac:dyDescent="0.35">
      <c r="A112">
        <v>555.74576271186436</v>
      </c>
      <c r="B112">
        <v>9.9156272594190327</v>
      </c>
      <c r="C112">
        <v>-10.007365046958892</v>
      </c>
      <c r="D112">
        <v>-84.035365763415328</v>
      </c>
      <c r="E112">
        <v>9.8870039661016942E-2</v>
      </c>
      <c r="F112">
        <v>0.28677671664752263</v>
      </c>
      <c r="G112">
        <v>100</v>
      </c>
    </row>
    <row r="113" spans="1:7" x14ac:dyDescent="0.35">
      <c r="A113">
        <v>559.30508474576266</v>
      </c>
      <c r="B113">
        <v>9.9259509517703588</v>
      </c>
      <c r="C113">
        <v>-10.105694621797459</v>
      </c>
      <c r="D113">
        <v>-83.977500738674706</v>
      </c>
      <c r="E113">
        <v>9.8870039661016942E-2</v>
      </c>
      <c r="F113">
        <v>0.28677671664752263</v>
      </c>
      <c r="G113">
        <v>100</v>
      </c>
    </row>
    <row r="114" spans="1:7" x14ac:dyDescent="0.35">
      <c r="A114">
        <v>562.86440677966107</v>
      </c>
      <c r="B114">
        <v>9.9363739453390494</v>
      </c>
      <c r="C114">
        <v>-10.204013720230902</v>
      </c>
      <c r="D114">
        <v>-83.919635713934085</v>
      </c>
      <c r="E114">
        <v>9.8870039661016942E-2</v>
      </c>
      <c r="F114">
        <v>0.28677671664752263</v>
      </c>
      <c r="G114">
        <v>100</v>
      </c>
    </row>
    <row r="115" spans="1:7" x14ac:dyDescent="0.35">
      <c r="A115">
        <v>566.42372881355936</v>
      </c>
      <c r="B115">
        <v>9.9468962294939853</v>
      </c>
      <c r="C115">
        <v>-10.302322241976787</v>
      </c>
      <c r="D115">
        <v>-83.861770689193463</v>
      </c>
      <c r="E115">
        <v>9.8870039661016942E-2</v>
      </c>
      <c r="F115">
        <v>0.28677671664752263</v>
      </c>
      <c r="G115">
        <v>100</v>
      </c>
    </row>
    <row r="116" spans="1:7" x14ac:dyDescent="0.35">
      <c r="A116">
        <v>569.98305084745766</v>
      </c>
      <c r="B116">
        <v>9.9575177935027419</v>
      </c>
      <c r="C116">
        <v>-10.400620086763466</v>
      </c>
      <c r="D116">
        <v>-83.803905664452842</v>
      </c>
      <c r="E116">
        <v>9.8870039661016942E-2</v>
      </c>
      <c r="F116">
        <v>0.28677671664752263</v>
      </c>
      <c r="G116">
        <v>100</v>
      </c>
    </row>
    <row r="117" spans="1:7" x14ac:dyDescent="0.35">
      <c r="A117">
        <v>573.54237288135596</v>
      </c>
      <c r="B117">
        <v>9.968238626531674</v>
      </c>
      <c r="C117">
        <v>-10.49890715433018</v>
      </c>
      <c r="D117">
        <v>-83.74604063971222</v>
      </c>
      <c r="E117">
        <v>9.8870039661016942E-2</v>
      </c>
      <c r="F117">
        <v>0.28677671664752263</v>
      </c>
      <c r="G117">
        <v>100</v>
      </c>
    </row>
    <row r="118" spans="1:7" x14ac:dyDescent="0.35">
      <c r="A118">
        <v>577.10169491525426</v>
      </c>
      <c r="B118">
        <v>9.9790587176458487</v>
      </c>
      <c r="C118">
        <v>-10.597183344427167</v>
      </c>
      <c r="D118">
        <v>-83.688175614971598</v>
      </c>
      <c r="E118">
        <v>9.8870039661016942E-2</v>
      </c>
      <c r="F118">
        <v>0.28677671664752263</v>
      </c>
      <c r="G118">
        <v>100</v>
      </c>
    </row>
    <row r="119" spans="1:7" x14ac:dyDescent="0.35">
      <c r="A119">
        <v>580.66101694915255</v>
      </c>
      <c r="B119">
        <v>9.9899780558091233</v>
      </c>
      <c r="C119">
        <v>-10.695448556815755</v>
      </c>
      <c r="D119">
        <v>-83.630310590230977</v>
      </c>
      <c r="E119">
        <v>9.8870039661016942E-2</v>
      </c>
      <c r="F119">
        <v>0.28677671664752263</v>
      </c>
      <c r="G119">
        <v>100</v>
      </c>
    </row>
    <row r="120" spans="1:7" x14ac:dyDescent="0.35">
      <c r="A120">
        <v>584.22033898305085</v>
      </c>
      <c r="B120">
        <v>10.000996629884092</v>
      </c>
      <c r="C120">
        <v>-10.793702691268471</v>
      </c>
      <c r="D120">
        <v>-83.572445565490355</v>
      </c>
      <c r="E120">
        <v>9.8870039661016942E-2</v>
      </c>
      <c r="F120">
        <v>0.28677671664752263</v>
      </c>
      <c r="G120">
        <v>100</v>
      </c>
    </row>
    <row r="121" spans="1:7" x14ac:dyDescent="0.35">
      <c r="A121">
        <v>587.77966101694915</v>
      </c>
      <c r="B121">
        <v>10.012114428632168</v>
      </c>
      <c r="C121">
        <v>-10.891945647569143</v>
      </c>
      <c r="D121">
        <v>-83.514580540749733</v>
      </c>
      <c r="E121">
        <v>9.8870039661016942E-2</v>
      </c>
      <c r="F121">
        <v>0.28677671664752263</v>
      </c>
      <c r="G121">
        <v>100</v>
      </c>
    </row>
    <row r="122" spans="1:7" x14ac:dyDescent="0.35">
      <c r="A122">
        <v>591.33898305084745</v>
      </c>
      <c r="B122">
        <v>10.023331440713525</v>
      </c>
      <c r="C122">
        <v>-10.990177325512995</v>
      </c>
      <c r="D122">
        <v>-83.456715516009112</v>
      </c>
      <c r="E122">
        <v>9.8870039661016942E-2</v>
      </c>
      <c r="F122">
        <v>0.28677671664752263</v>
      </c>
      <c r="G122">
        <v>100</v>
      </c>
    </row>
    <row r="123" spans="1:7" x14ac:dyDescent="0.35">
      <c r="A123">
        <v>594.89830508474574</v>
      </c>
      <c r="B123">
        <v>10.034647654687168</v>
      </c>
      <c r="C123">
        <v>-11.08839762490676</v>
      </c>
      <c r="D123">
        <v>-83.39885049126849</v>
      </c>
      <c r="E123">
        <v>9.8870039661016942E-2</v>
      </c>
      <c r="F123">
        <v>0.28677671664752263</v>
      </c>
      <c r="G123">
        <v>100</v>
      </c>
    </row>
    <row r="124" spans="1:7" x14ac:dyDescent="0.35">
      <c r="A124">
        <v>598.45762711864404</v>
      </c>
      <c r="B124">
        <v>10.046063059010915</v>
      </c>
      <c r="C124">
        <v>-11.186606445568774</v>
      </c>
      <c r="D124">
        <v>-83.340985466527869</v>
      </c>
      <c r="E124">
        <v>9.8870039661016942E-2</v>
      </c>
      <c r="F124">
        <v>0.28677671664752263</v>
      </c>
      <c r="G124">
        <v>100</v>
      </c>
    </row>
    <row r="125" spans="1:7" x14ac:dyDescent="0.35">
      <c r="A125">
        <v>602.01694915254234</v>
      </c>
      <c r="B125">
        <v>10.057577642041394</v>
      </c>
      <c r="C125">
        <v>-11.284803687329081</v>
      </c>
      <c r="D125">
        <v>-83.283120441787247</v>
      </c>
      <c r="E125">
        <v>9.8870039661016942E-2</v>
      </c>
      <c r="F125">
        <v>0.28677671664752263</v>
      </c>
      <c r="G125">
        <v>100</v>
      </c>
    </row>
    <row r="126" spans="1:7" x14ac:dyDescent="0.35">
      <c r="A126">
        <v>605.57627118644064</v>
      </c>
      <c r="B126">
        <v>10.069191392034089</v>
      </c>
      <c r="C126">
        <v>-11.382989250029539</v>
      </c>
      <c r="D126">
        <v>-83.225255417046625</v>
      </c>
      <c r="E126">
        <v>9.8870039661016942E-2</v>
      </c>
      <c r="F126">
        <v>0.28677671664752263</v>
      </c>
      <c r="G126">
        <v>100</v>
      </c>
    </row>
    <row r="127" spans="1:7" x14ac:dyDescent="0.35">
      <c r="A127">
        <v>609.13559322033893</v>
      </c>
      <c r="B127">
        <v>10.080904297143348</v>
      </c>
      <c r="C127">
        <v>-11.481163033523909</v>
      </c>
      <c r="D127">
        <v>-83.167390392306004</v>
      </c>
      <c r="E127">
        <v>9.8870039661016942E-2</v>
      </c>
      <c r="F127">
        <v>0.28677671664752263</v>
      </c>
      <c r="G127">
        <v>100</v>
      </c>
    </row>
    <row r="128" spans="1:7" x14ac:dyDescent="0.35">
      <c r="A128">
        <v>612.69491525423734</v>
      </c>
      <c r="B128">
        <v>10.092716345422357</v>
      </c>
      <c r="C128">
        <v>-11.579324937677978</v>
      </c>
      <c r="D128">
        <v>-83.109525367565382</v>
      </c>
      <c r="E128">
        <v>9.8870039661016942E-2</v>
      </c>
      <c r="F128">
        <v>0.28677671664752263</v>
      </c>
      <c r="G128">
        <v>100</v>
      </c>
    </row>
    <row r="129" spans="1:7" x14ac:dyDescent="0.35">
      <c r="A129">
        <v>616.25423728813564</v>
      </c>
      <c r="B129">
        <v>10.104627524823194</v>
      </c>
      <c r="C129">
        <v>-11.677474862369642</v>
      </c>
      <c r="D129">
        <v>-83.051660342824761</v>
      </c>
      <c r="E129">
        <v>9.8870039661016942E-2</v>
      </c>
      <c r="F129">
        <v>0.28677671664752263</v>
      </c>
      <c r="G129">
        <v>100</v>
      </c>
    </row>
    <row r="130" spans="1:7" x14ac:dyDescent="0.35">
      <c r="A130">
        <v>619.81355932203394</v>
      </c>
      <c r="B130">
        <v>10.116637823196829</v>
      </c>
      <c r="C130">
        <v>-11.775612707489017</v>
      </c>
      <c r="D130">
        <v>-82.993795318084153</v>
      </c>
      <c r="E130">
        <v>9.8870039661016942E-2</v>
      </c>
      <c r="F130">
        <v>0.28677671664752263</v>
      </c>
      <c r="G130">
        <v>100</v>
      </c>
    </row>
    <row r="131" spans="1:7" x14ac:dyDescent="0.35">
      <c r="A131">
        <v>623.37288135593224</v>
      </c>
      <c r="B131">
        <v>10.128747228293129</v>
      </c>
      <c r="C131">
        <v>-11.873738372938542</v>
      </c>
      <c r="D131">
        <v>-82.935930293343532</v>
      </c>
      <c r="E131">
        <v>9.8870039661016942E-2</v>
      </c>
      <c r="F131">
        <v>0.28677671664752263</v>
      </c>
      <c r="G131">
        <v>100</v>
      </c>
    </row>
    <row r="132" spans="1:7" x14ac:dyDescent="0.35">
      <c r="A132">
        <v>626.93220338983053</v>
      </c>
      <c r="B132">
        <v>10.14095572776087</v>
      </c>
      <c r="C132">
        <v>-11.971851758633075</v>
      </c>
      <c r="D132">
        <v>-82.87806526860291</v>
      </c>
      <c r="E132">
        <v>9.8870039661016942E-2</v>
      </c>
      <c r="F132">
        <v>0.28677671664752263</v>
      </c>
      <c r="G132">
        <v>100</v>
      </c>
    </row>
    <row r="133" spans="1:7" x14ac:dyDescent="0.35">
      <c r="A133">
        <v>630.49152542372883</v>
      </c>
      <c r="B133">
        <v>10.153263309147771</v>
      </c>
      <c r="C133">
        <v>-12.069952764500004</v>
      </c>
      <c r="D133">
        <v>-82.820200243862288</v>
      </c>
      <c r="E133">
        <v>9.8870039661016942E-2</v>
      </c>
      <c r="F133">
        <v>0.28677671664752263</v>
      </c>
      <c r="G133">
        <v>100</v>
      </c>
    </row>
    <row r="134" spans="1:7" x14ac:dyDescent="0.35">
      <c r="A134">
        <v>634.05084745762713</v>
      </c>
      <c r="B134">
        <v>10.165669959900471</v>
      </c>
      <c r="C134">
        <v>-12.168041290479337</v>
      </c>
      <c r="D134">
        <v>-82.762335219121667</v>
      </c>
      <c r="E134">
        <v>9.8870039661016942E-2</v>
      </c>
      <c r="F134">
        <v>0.28677671664752263</v>
      </c>
      <c r="G134">
        <v>100</v>
      </c>
    </row>
    <row r="135" spans="1:7" x14ac:dyDescent="0.35">
      <c r="A135">
        <v>637.61016949152543</v>
      </c>
      <c r="B135">
        <v>10.178175667364584</v>
      </c>
      <c r="C135">
        <v>-12.266117236523822</v>
      </c>
      <c r="D135">
        <v>-82.704470194381045</v>
      </c>
      <c r="E135">
        <v>9.8870039661016942E-2</v>
      </c>
      <c r="F135">
        <v>0.28677671664752263</v>
      </c>
      <c r="G135">
        <v>100</v>
      </c>
    </row>
    <row r="136" spans="1:7" x14ac:dyDescent="0.35">
      <c r="A136">
        <v>641.16949152542372</v>
      </c>
      <c r="B136">
        <v>10.190780418784653</v>
      </c>
      <c r="C136">
        <v>-12.364180502599025</v>
      </c>
      <c r="D136">
        <v>-82.646605169640424</v>
      </c>
      <c r="E136">
        <v>9.8870039661016942E-2</v>
      </c>
      <c r="F136">
        <v>0.28677671664752263</v>
      </c>
      <c r="G136">
        <v>100</v>
      </c>
    </row>
    <row r="137" spans="1:7" x14ac:dyDescent="0.35">
      <c r="A137">
        <v>644.72881355932202</v>
      </c>
      <c r="B137">
        <v>10.203484201304242</v>
      </c>
      <c r="C137">
        <v>-12.462230988683455</v>
      </c>
      <c r="D137">
        <v>-82.588740144899802</v>
      </c>
      <c r="E137">
        <v>9.8870039661016942E-2</v>
      </c>
      <c r="F137">
        <v>0.28677671664752263</v>
      </c>
      <c r="G137">
        <v>100</v>
      </c>
    </row>
    <row r="138" spans="1:7" x14ac:dyDescent="0.35">
      <c r="A138">
        <v>648.28813559322032</v>
      </c>
      <c r="B138">
        <v>10.216287001965876</v>
      </c>
      <c r="C138">
        <v>-12.560268594768655</v>
      </c>
      <c r="D138">
        <v>-82.53087512015918</v>
      </c>
      <c r="E138">
        <v>9.8870039661016942E-2</v>
      </c>
      <c r="F138">
        <v>0.28677671664752263</v>
      </c>
      <c r="G138">
        <v>100</v>
      </c>
    </row>
    <row r="139" spans="1:7" x14ac:dyDescent="0.35">
      <c r="A139">
        <v>651.84745762711862</v>
      </c>
      <c r="B139">
        <v>10.229188807711099</v>
      </c>
      <c r="C139">
        <v>-12.658293220859298</v>
      </c>
      <c r="D139">
        <v>-82.473010095418559</v>
      </c>
      <c r="E139">
        <v>9.8870039661016942E-2</v>
      </c>
      <c r="F139">
        <v>0.28677671664752263</v>
      </c>
      <c r="G139">
        <v>100</v>
      </c>
    </row>
    <row r="140" spans="1:7" x14ac:dyDescent="0.35">
      <c r="A140">
        <v>655.40677966101691</v>
      </c>
      <c r="B140">
        <v>10.242189605380473</v>
      </c>
      <c r="C140">
        <v>-12.756304766973306</v>
      </c>
      <c r="D140">
        <v>-82.415145070677937</v>
      </c>
      <c r="E140">
        <v>9.8870039661016942E-2</v>
      </c>
      <c r="F140">
        <v>0.28677671664752263</v>
      </c>
      <c r="G140">
        <v>100</v>
      </c>
    </row>
    <row r="141" spans="1:7" x14ac:dyDescent="0.35">
      <c r="A141">
        <v>658.96610169491521</v>
      </c>
      <c r="B141">
        <v>10.255289381713578</v>
      </c>
      <c r="C141">
        <v>-12.854303133141935</v>
      </c>
      <c r="D141">
        <v>-82.357280045937316</v>
      </c>
      <c r="E141">
        <v>9.8870039661016942E-2</v>
      </c>
      <c r="F141">
        <v>0.28677671664752263</v>
      </c>
      <c r="G141">
        <v>100</v>
      </c>
    </row>
    <row r="142" spans="1:7" x14ac:dyDescent="0.35">
      <c r="A142">
        <v>662.52542372881351</v>
      </c>
      <c r="B142">
        <v>10.268488123349044</v>
      </c>
      <c r="C142">
        <v>-12.952288219409887</v>
      </c>
      <c r="D142">
        <v>-82.299415021196694</v>
      </c>
      <c r="E142">
        <v>9.8870039661016942E-2</v>
      </c>
      <c r="F142">
        <v>0.28677671664752263</v>
      </c>
      <c r="G142">
        <v>100</v>
      </c>
    </row>
    <row r="143" spans="1:7" x14ac:dyDescent="0.35">
      <c r="A143">
        <v>666.08474576271192</v>
      </c>
      <c r="B143">
        <v>10.281785816824577</v>
      </c>
      <c r="C143">
        <v>-13.050259925835411</v>
      </c>
      <c r="D143">
        <v>-82.241549996456072</v>
      </c>
      <c r="E143">
        <v>9.8870039661016942E-2</v>
      </c>
      <c r="F143">
        <v>0.28677671664752263</v>
      </c>
      <c r="G143">
        <v>100</v>
      </c>
    </row>
    <row r="144" spans="1:7" x14ac:dyDescent="0.35">
      <c r="A144">
        <v>669.64406779661022</v>
      </c>
      <c r="B144">
        <v>10.295182448576938</v>
      </c>
      <c r="C144">
        <v>-13.148218152490399</v>
      </c>
      <c r="D144">
        <v>-82.183684971715451</v>
      </c>
      <c r="E144">
        <v>9.8870039661016942E-2</v>
      </c>
      <c r="F144">
        <v>0.28677671664752263</v>
      </c>
      <c r="G144">
        <v>100</v>
      </c>
    </row>
    <row r="145" spans="1:8" x14ac:dyDescent="0.35">
      <c r="A145">
        <v>673.20338983050851</v>
      </c>
      <c r="B145">
        <v>10.308678004941976</v>
      </c>
      <c r="C145">
        <v>-13.246162799460492</v>
      </c>
      <c r="D145">
        <v>-82.125819946974829</v>
      </c>
      <c r="E145">
        <v>9.8870039661016942E-2</v>
      </c>
      <c r="F145">
        <v>0.28677671664752263</v>
      </c>
      <c r="G145">
        <v>100</v>
      </c>
    </row>
    <row r="146" spans="1:8" x14ac:dyDescent="0.35">
      <c r="A146">
        <v>676.76271186440681</v>
      </c>
      <c r="B146">
        <v>10.322272472154635</v>
      </c>
      <c r="C146">
        <v>-13.344093766845186</v>
      </c>
      <c r="D146">
        <v>-82.067954922234208</v>
      </c>
      <c r="E146">
        <v>9.8870039661016942E-2</v>
      </c>
      <c r="F146">
        <v>0.28677671664752263</v>
      </c>
      <c r="G146">
        <v>100</v>
      </c>
    </row>
    <row r="147" spans="1:8" x14ac:dyDescent="0.35">
      <c r="A147">
        <v>680.32203389830511</v>
      </c>
      <c r="B147">
        <v>10.335965836348992</v>
      </c>
      <c r="C147">
        <v>-13.442010954757928</v>
      </c>
      <c r="D147">
        <v>-82.010089897493586</v>
      </c>
      <c r="E147">
        <v>9.8870039661016942E-2</v>
      </c>
      <c r="F147">
        <v>0.28677671664752263</v>
      </c>
      <c r="G147">
        <v>100</v>
      </c>
    </row>
    <row r="148" spans="1:8" x14ac:dyDescent="0.35">
      <c r="A148">
        <v>683.88135593220341</v>
      </c>
      <c r="B148">
        <v>10.349758083558221</v>
      </c>
      <c r="C148">
        <v>-13.539914263326216</v>
      </c>
      <c r="D148">
        <v>-81.952224872752964</v>
      </c>
      <c r="E148">
        <v>9.8870039661016942E-2</v>
      </c>
      <c r="F148">
        <v>0.28677671664752263</v>
      </c>
      <c r="G148">
        <v>100</v>
      </c>
    </row>
    <row r="149" spans="1:8" x14ac:dyDescent="0.35">
      <c r="A149">
        <v>687.4406779661017</v>
      </c>
      <c r="B149">
        <v>10.363649199714677</v>
      </c>
      <c r="C149">
        <v>-13.637803592691707</v>
      </c>
      <c r="D149">
        <v>-81.894359848012343</v>
      </c>
      <c r="E149">
        <v>9.8870039661016942E-2</v>
      </c>
      <c r="F149">
        <v>0.28677671664752263</v>
      </c>
      <c r="G149">
        <v>100</v>
      </c>
    </row>
    <row r="150" spans="1:8" x14ac:dyDescent="0.35">
      <c r="A150">
        <v>691</v>
      </c>
      <c r="B150">
        <v>10.377639170649841</v>
      </c>
      <c r="C150">
        <v>-13.735678843010323</v>
      </c>
      <c r="D150">
        <v>-81.836494823271721</v>
      </c>
      <c r="E150">
        <v>9.8870039661016942E-2</v>
      </c>
      <c r="F150">
        <v>0.28677671664752263</v>
      </c>
      <c r="G150">
        <v>100</v>
      </c>
      <c r="H150">
        <v>9</v>
      </c>
    </row>
    <row r="151" spans="1:8" x14ac:dyDescent="0.35">
      <c r="A151">
        <v>751</v>
      </c>
      <c r="B151">
        <v>10.614303378228858</v>
      </c>
      <c r="C151">
        <v>-15.385457699425254</v>
      </c>
      <c r="D151">
        <v>-81.836494823271721</v>
      </c>
      <c r="E151">
        <v>1.6666673999999999</v>
      </c>
      <c r="F151">
        <v>0</v>
      </c>
      <c r="G151">
        <v>100</v>
      </c>
      <c r="H151">
        <v>10</v>
      </c>
    </row>
    <row r="152" spans="1:8" x14ac:dyDescent="0.35">
      <c r="A152">
        <v>754.52941176470586</v>
      </c>
      <c r="B152">
        <v>10.629587305229197</v>
      </c>
      <c r="C152">
        <v>-15.482294956028504</v>
      </c>
      <c r="D152">
        <v>-80.225371189664784</v>
      </c>
      <c r="E152">
        <v>9.8039206470588239E-2</v>
      </c>
      <c r="F152">
        <v>8</v>
      </c>
      <c r="G152">
        <v>100</v>
      </c>
    </row>
    <row r="153" spans="1:8" x14ac:dyDescent="0.35">
      <c r="A153">
        <v>758.05882352941171</v>
      </c>
      <c r="B153">
        <v>10.647587838005107</v>
      </c>
      <c r="C153">
        <v>-15.578664212074086</v>
      </c>
      <c r="D153">
        <v>-78.614247556057848</v>
      </c>
      <c r="E153">
        <v>9.8039206470588239E-2</v>
      </c>
      <c r="F153">
        <v>8</v>
      </c>
      <c r="G153">
        <v>100</v>
      </c>
    </row>
    <row r="154" spans="1:8" x14ac:dyDescent="0.35">
      <c r="A154">
        <v>761.58823529411768</v>
      </c>
      <c r="B154">
        <v>10.668290744449111</v>
      </c>
      <c r="C154">
        <v>-15.674489273283386</v>
      </c>
      <c r="D154">
        <v>-77.003123922450911</v>
      </c>
      <c r="E154">
        <v>9.8039206470588239E-2</v>
      </c>
      <c r="F154">
        <v>8</v>
      </c>
      <c r="G154">
        <v>100</v>
      </c>
    </row>
    <row r="155" spans="1:8" x14ac:dyDescent="0.35">
      <c r="A155">
        <v>765.11764705882354</v>
      </c>
      <c r="B155">
        <v>10.691679655824057</v>
      </c>
      <c r="C155">
        <v>-15.769694375645026</v>
      </c>
      <c r="D155">
        <v>-75.392000288843974</v>
      </c>
      <c r="E155">
        <v>9.8039206470588239E-2</v>
      </c>
      <c r="F155">
        <v>8</v>
      </c>
      <c r="G155">
        <v>100</v>
      </c>
    </row>
    <row r="156" spans="1:8" x14ac:dyDescent="0.35">
      <c r="A156">
        <v>768.64705882352939</v>
      </c>
      <c r="B156">
        <v>10.71773607970505</v>
      </c>
      <c r="C156">
        <v>-15.864204245317612</v>
      </c>
      <c r="D156">
        <v>-73.780876655237023</v>
      </c>
      <c r="E156">
        <v>9.8039206470588239E-2</v>
      </c>
      <c r="F156">
        <v>8</v>
      </c>
      <c r="G156">
        <v>100</v>
      </c>
    </row>
    <row r="157" spans="1:8" x14ac:dyDescent="0.35">
      <c r="A157">
        <v>772.17647058823525</v>
      </c>
      <c r="B157">
        <v>10.74643941460047</v>
      </c>
      <c r="C157">
        <v>-15.957944158144951</v>
      </c>
      <c r="D157">
        <v>-72.169753021630086</v>
      </c>
      <c r="E157">
        <v>9.8039206470588239E-2</v>
      </c>
      <c r="F157">
        <v>8</v>
      </c>
      <c r="G157">
        <v>100</v>
      </c>
    </row>
    <row r="158" spans="1:8" x14ac:dyDescent="0.35">
      <c r="A158">
        <v>775.70588235294122</v>
      </c>
      <c r="B158">
        <v>10.777766966240527</v>
      </c>
      <c r="C158">
        <v>-16.050839998736631</v>
      </c>
      <c r="D158">
        <v>-70.558629388023149</v>
      </c>
      <c r="E158">
        <v>9.8039206470588239E-2</v>
      </c>
      <c r="F158">
        <v>8</v>
      </c>
      <c r="G158">
        <v>100</v>
      </c>
    </row>
    <row r="159" spans="1:8" x14ac:dyDescent="0.35">
      <c r="A159">
        <v>779.23529411764707</v>
      </c>
      <c r="B159">
        <v>10.811693965520469</v>
      </c>
      <c r="C159">
        <v>-16.142818319067317</v>
      </c>
      <c r="D159">
        <v>-68.947505754416213</v>
      </c>
      <c r="E159">
        <v>9.8039206470588239E-2</v>
      </c>
      <c r="F159">
        <v>8</v>
      </c>
      <c r="G159">
        <v>100</v>
      </c>
    </row>
    <row r="160" spans="1:8" x14ac:dyDescent="0.35">
      <c r="A160">
        <v>782.76470588235293</v>
      </c>
      <c r="B160">
        <v>10.848193588084253</v>
      </c>
      <c r="C160">
        <v>-16.233806396548363</v>
      </c>
      <c r="D160">
        <v>-67.336382120809262</v>
      </c>
      <c r="E160">
        <v>9.8039206470588239E-2</v>
      </c>
      <c r="F160">
        <v>8</v>
      </c>
      <c r="G160">
        <v>100</v>
      </c>
    </row>
    <row r="161" spans="1:7" x14ac:dyDescent="0.35">
      <c r="A161">
        <v>786.29411764705878</v>
      </c>
      <c r="B161">
        <v>10.887236975533209</v>
      </c>
      <c r="C161">
        <v>-16.323732291525872</v>
      </c>
      <c r="D161">
        <v>-65.725258487202325</v>
      </c>
      <c r="E161">
        <v>9.8039206470588239E-2</v>
      </c>
      <c r="F161">
        <v>8</v>
      </c>
      <c r="G161">
        <v>100</v>
      </c>
    </row>
    <row r="162" spans="1:7" x14ac:dyDescent="0.35">
      <c r="A162">
        <v>789.82352941176475</v>
      </c>
      <c r="B162">
        <v>10.9287932582429</v>
      </c>
      <c r="C162">
        <v>-16.412524904159739</v>
      </c>
      <c r="D162">
        <v>-64.114134853595388</v>
      </c>
      <c r="E162">
        <v>9.8039206470588239E-2</v>
      </c>
      <c r="F162">
        <v>8</v>
      </c>
      <c r="G162">
        <v>100</v>
      </c>
    </row>
    <row r="163" spans="1:7" x14ac:dyDescent="0.35">
      <c r="A163">
        <v>793.35294117647061</v>
      </c>
      <c r="B163">
        <v>10.972829579770174</v>
      </c>
      <c r="C163">
        <v>-16.50011403063867</v>
      </c>
      <c r="D163">
        <v>-62.503011219988444</v>
      </c>
      <c r="E163">
        <v>9.8039206470588239E-2</v>
      </c>
      <c r="F163">
        <v>8</v>
      </c>
      <c r="G163">
        <v>100</v>
      </c>
    </row>
    <row r="164" spans="1:7" x14ac:dyDescent="0.35">
      <c r="A164">
        <v>796.88235294117646</v>
      </c>
      <c r="B164">
        <v>11.019311122831084</v>
      </c>
      <c r="C164">
        <v>-16.586430418686781</v>
      </c>
      <c r="D164">
        <v>-60.891887586381507</v>
      </c>
      <c r="E164">
        <v>9.8039206470588239E-2</v>
      </c>
      <c r="F164">
        <v>8</v>
      </c>
      <c r="G164">
        <v>100</v>
      </c>
    </row>
    <row r="165" spans="1:7" x14ac:dyDescent="0.35">
      <c r="A165">
        <v>800.41176470588232</v>
      </c>
      <c r="B165">
        <v>11.068201136829147</v>
      </c>
      <c r="C165">
        <v>-16.671405822317858</v>
      </c>
      <c r="D165">
        <v>-59.280763952774571</v>
      </c>
      <c r="E165">
        <v>9.8039206470588239E-2</v>
      </c>
      <c r="F165">
        <v>8</v>
      </c>
      <c r="G165">
        <v>100</v>
      </c>
    </row>
    <row r="166" spans="1:7" x14ac:dyDescent="0.35">
      <c r="A166">
        <v>803.94117647058829</v>
      </c>
      <c r="B166">
        <v>11.119460966912177</v>
      </c>
      <c r="C166">
        <v>-16.75497305579399</v>
      </c>
      <c r="D166">
        <v>-57.669640319167627</v>
      </c>
      <c r="E166">
        <v>9.8039206470588239E-2</v>
      </c>
      <c r="F166">
        <v>8</v>
      </c>
      <c r="G166">
        <v>100</v>
      </c>
    </row>
    <row r="167" spans="1:7" x14ac:dyDescent="0.35">
      <c r="A167">
        <v>807.47058823529414</v>
      </c>
      <c r="B167">
        <v>11.173050084534708</v>
      </c>
      <c r="C167">
        <v>-16.837066046745921</v>
      </c>
      <c r="D167">
        <v>-56.05851668556069</v>
      </c>
      <c r="E167">
        <v>9.8039206470588239E-2</v>
      </c>
      <c r="F167">
        <v>8</v>
      </c>
      <c r="G167">
        <v>100</v>
      </c>
    </row>
    <row r="168" spans="1:7" x14ac:dyDescent="0.35">
      <c r="A168">
        <v>811</v>
      </c>
      <c r="B168">
        <v>11.228926119501866</v>
      </c>
      <c r="C168">
        <v>-16.917619888413121</v>
      </c>
      <c r="D168">
        <v>-54.447393051953746</v>
      </c>
      <c r="E168">
        <v>9.8039206470588239E-2</v>
      </c>
      <c r="F168">
        <v>8</v>
      </c>
      <c r="G168">
        <v>100</v>
      </c>
    </row>
    <row r="169" spans="1:7" x14ac:dyDescent="0.35">
      <c r="A169">
        <v>814.52941176470586</v>
      </c>
      <c r="B169">
        <v>11.287044893469323</v>
      </c>
      <c r="C169">
        <v>-16.996570890962264</v>
      </c>
      <c r="D169">
        <v>-52.836269418346809</v>
      </c>
      <c r="E169">
        <v>9.8039206470588239E-2</v>
      </c>
      <c r="F169">
        <v>8</v>
      </c>
      <c r="G169">
        <v>100</v>
      </c>
    </row>
    <row r="170" spans="1:7" x14ac:dyDescent="0.35">
      <c r="A170">
        <v>818.05882352941171</v>
      </c>
      <c r="B170">
        <v>11.347360454872879</v>
      </c>
      <c r="C170">
        <v>-17.073856631843551</v>
      </c>
      <c r="D170">
        <v>-51.225145784739865</v>
      </c>
      <c r="E170">
        <v>9.8039206470588239E-2</v>
      </c>
      <c r="F170">
        <v>8</v>
      </c>
      <c r="G170">
        <v>100</v>
      </c>
    </row>
    <row r="171" spans="1:7" x14ac:dyDescent="0.35">
      <c r="A171">
        <v>821.58823529411768</v>
      </c>
      <c r="B171">
        <v>11.409825115260027</v>
      </c>
      <c r="C171">
        <v>-17.149416005145042</v>
      </c>
      <c r="D171">
        <v>-49.614022151132929</v>
      </c>
      <c r="E171">
        <v>9.8039206470588239E-2</v>
      </c>
      <c r="F171">
        <v>8</v>
      </c>
      <c r="G171">
        <v>100</v>
      </c>
    </row>
    <row r="172" spans="1:7" x14ac:dyDescent="0.35">
      <c r="A172">
        <v>825.11764705882354</v>
      </c>
      <c r="B172">
        <v>11.474389486994788</v>
      </c>
      <c r="C172">
        <v>-17.223189269906005</v>
      </c>
      <c r="D172">
        <v>-48.002898517525985</v>
      </c>
      <c r="E172">
        <v>9.8039206470588239E-2</v>
      </c>
      <c r="F172">
        <v>8</v>
      </c>
      <c r="G172">
        <v>100</v>
      </c>
    </row>
    <row r="173" spans="1:7" x14ac:dyDescent="0.35">
      <c r="A173">
        <v>828.64705882352939</v>
      </c>
      <c r="B173">
        <v>11.541002522306014</v>
      </c>
      <c r="C173">
        <v>-17.295118097351061</v>
      </c>
      <c r="D173">
        <v>-46.391774883919048</v>
      </c>
      <c r="E173">
        <v>9.8039206470588239E-2</v>
      </c>
      <c r="F173">
        <v>8</v>
      </c>
      <c r="G173">
        <v>100</v>
      </c>
    </row>
    <row r="174" spans="1:7" x14ac:dyDescent="0.35">
      <c r="A174">
        <v>832.17647058823525</v>
      </c>
      <c r="B174">
        <v>11.609611553648268</v>
      </c>
      <c r="C174">
        <v>-17.365145617007787</v>
      </c>
      <c r="D174">
        <v>-44.780651250312104</v>
      </c>
      <c r="E174">
        <v>9.8039206470588239E-2</v>
      </c>
      <c r="F174">
        <v>8</v>
      </c>
      <c r="G174">
        <v>100</v>
      </c>
    </row>
    <row r="175" spans="1:7" x14ac:dyDescent="0.35">
      <c r="A175">
        <v>835.70588235294122</v>
      </c>
      <c r="B175">
        <v>11.680162335343372</v>
      </c>
      <c r="C175">
        <v>-17.433216461671307</v>
      </c>
      <c r="D175">
        <v>-43.169527616705167</v>
      </c>
      <c r="E175">
        <v>9.8039206470588239E-2</v>
      </c>
      <c r="F175">
        <v>8</v>
      </c>
      <c r="G175">
        <v>100</v>
      </c>
    </row>
    <row r="176" spans="1:7" x14ac:dyDescent="0.35">
      <c r="A176">
        <v>839.23529411764707</v>
      </c>
      <c r="B176">
        <v>11.752599086469722</v>
      </c>
      <c r="C176">
        <v>-17.499276811180334</v>
      </c>
      <c r="D176">
        <v>-41.558403983098231</v>
      </c>
      <c r="E176">
        <v>9.8039206470588239E-2</v>
      </c>
      <c r="F176">
        <v>8</v>
      </c>
      <c r="G176">
        <v>100</v>
      </c>
    </row>
    <row r="177" spans="1:8" x14ac:dyDescent="0.35">
      <c r="A177">
        <v>842.76470588235293</v>
      </c>
      <c r="B177">
        <v>11.826864534965424</v>
      </c>
      <c r="C177">
        <v>-17.563274434970033</v>
      </c>
      <c r="D177">
        <v>-39.947280349491287</v>
      </c>
      <c r="E177">
        <v>9.8039206470588239E-2</v>
      </c>
      <c r="F177">
        <v>8</v>
      </c>
      <c r="G177">
        <v>100</v>
      </c>
    </row>
    <row r="178" spans="1:8" x14ac:dyDescent="0.35">
      <c r="A178">
        <v>846.29411764705878</v>
      </c>
      <c r="B178">
        <v>11.902899962910404</v>
      </c>
      <c r="C178">
        <v>-17.625158733368085</v>
      </c>
      <c r="D178">
        <v>-38.33615671588435</v>
      </c>
      <c r="E178">
        <v>9.8039206470588239E-2</v>
      </c>
      <c r="F178">
        <v>8</v>
      </c>
      <c r="G178">
        <v>100</v>
      </c>
    </row>
    <row r="179" spans="1:8" x14ac:dyDescent="0.35">
      <c r="A179">
        <v>849.82352941176475</v>
      </c>
      <c r="B179">
        <v>11.980645252951691</v>
      </c>
      <c r="C179">
        <v>-17.684880777601279</v>
      </c>
      <c r="D179">
        <v>-36.725033082277406</v>
      </c>
      <c r="E179">
        <v>9.8039206470588239E-2</v>
      </c>
      <c r="F179">
        <v>8</v>
      </c>
      <c r="G179">
        <v>100</v>
      </c>
    </row>
    <row r="180" spans="1:8" x14ac:dyDescent="0.35">
      <c r="A180">
        <v>853.35294117647061</v>
      </c>
      <c r="B180">
        <v>12.060038935835156</v>
      </c>
      <c r="C180">
        <v>-17.742393348481002</v>
      </c>
      <c r="D180">
        <v>-35.113909448670469</v>
      </c>
      <c r="E180">
        <v>9.8039206470588239E-2</v>
      </c>
      <c r="F180">
        <v>8</v>
      </c>
      <c r="G180">
        <v>100</v>
      </c>
    </row>
    <row r="181" spans="1:8" x14ac:dyDescent="0.35">
      <c r="A181">
        <v>856.88235294117646</v>
      </c>
      <c r="B181">
        <v>12.141018239006129</v>
      </c>
      <c r="C181">
        <v>-17.79765097373706</v>
      </c>
      <c r="D181">
        <v>-33.502785815063525</v>
      </c>
      <c r="E181">
        <v>9.8039206470588239E-2</v>
      </c>
      <c r="F181">
        <v>8</v>
      </c>
      <c r="G181">
        <v>100</v>
      </c>
    </row>
    <row r="182" spans="1:8" x14ac:dyDescent="0.35">
      <c r="A182">
        <v>860.41176470588232</v>
      </c>
      <c r="B182">
        <v>12.223519136240473</v>
      </c>
      <c r="C182">
        <v>-17.850609963970292</v>
      </c>
      <c r="D182">
        <v>-31.891662181456589</v>
      </c>
      <c r="E182">
        <v>9.8039206470588239E-2</v>
      </c>
      <c r="F182">
        <v>8</v>
      </c>
      <c r="G182">
        <v>100</v>
      </c>
    </row>
    <row r="183" spans="1:8" x14ac:dyDescent="0.35">
      <c r="A183">
        <v>863.94117647058829</v>
      </c>
      <c r="B183">
        <v>12.307476398266864</v>
      </c>
      <c r="C183">
        <v>-17.901228447195564</v>
      </c>
      <c r="D183">
        <v>-30.280538547849648</v>
      </c>
      <c r="E183">
        <v>9.8039206470588239E-2</v>
      </c>
      <c r="F183">
        <v>8</v>
      </c>
      <c r="G183">
        <v>100</v>
      </c>
    </row>
    <row r="184" spans="1:8" x14ac:dyDescent="0.35">
      <c r="A184">
        <v>867.47058823529414</v>
      </c>
      <c r="B184">
        <v>12.392823644340275</v>
      </c>
      <c r="C184">
        <v>-17.949466401947813</v>
      </c>
      <c r="D184">
        <v>-28.669414914242708</v>
      </c>
      <c r="E184">
        <v>9.8039206470588239E-2</v>
      </c>
      <c r="F184">
        <v>8</v>
      </c>
      <c r="G184">
        <v>100</v>
      </c>
    </row>
    <row r="185" spans="1:8" x14ac:dyDescent="0.35">
      <c r="A185">
        <v>871</v>
      </c>
      <c r="B185">
        <v>12.479493394725852</v>
      </c>
      <c r="C185">
        <v>-17.995285688924994</v>
      </c>
      <c r="D185">
        <v>-27.058291280635768</v>
      </c>
      <c r="E185">
        <v>9.8039206470588239E-2</v>
      </c>
      <c r="F185">
        <v>8</v>
      </c>
      <c r="G185">
        <v>100</v>
      </c>
      <c r="H185">
        <v>11</v>
      </c>
    </row>
    <row r="186" spans="1:8" x14ac:dyDescent="0.35">
      <c r="A186">
        <v>931</v>
      </c>
      <c r="B186">
        <v>13.963734355571589</v>
      </c>
      <c r="C186">
        <v>-18.753447276167769</v>
      </c>
      <c r="D186">
        <v>-27.058291280635768</v>
      </c>
      <c r="E186">
        <v>1.6666673999999999</v>
      </c>
      <c r="F186">
        <v>0</v>
      </c>
      <c r="G186">
        <v>100</v>
      </c>
      <c r="H186">
        <v>12</v>
      </c>
    </row>
    <row r="187" spans="1:8" x14ac:dyDescent="0.35">
      <c r="A187">
        <v>934.38461538461536</v>
      </c>
      <c r="B187">
        <v>14.049512776244589</v>
      </c>
      <c r="C187">
        <v>-18.796893604760381</v>
      </c>
      <c r="D187">
        <v>-26.665667229418087</v>
      </c>
      <c r="E187">
        <v>9.6153819999999987E-2</v>
      </c>
      <c r="F187">
        <v>2</v>
      </c>
      <c r="G187">
        <v>100</v>
      </c>
    </row>
    <row r="188" spans="1:8" x14ac:dyDescent="0.35">
      <c r="A188">
        <v>937.76923076923072</v>
      </c>
      <c r="B188">
        <v>14.135586900156152</v>
      </c>
      <c r="C188">
        <v>-18.839751114186242</v>
      </c>
      <c r="D188">
        <v>-26.273043178200407</v>
      </c>
      <c r="E188">
        <v>9.6153819999999987E-2</v>
      </c>
      <c r="F188">
        <v>2</v>
      </c>
      <c r="G188">
        <v>100</v>
      </c>
    </row>
    <row r="189" spans="1:8" x14ac:dyDescent="0.35">
      <c r="A189">
        <v>941.15384615384619</v>
      </c>
      <c r="B189">
        <v>14.221952685463219</v>
      </c>
      <c r="C189">
        <v>-18.882017791955199</v>
      </c>
      <c r="D189">
        <v>-25.88041912698273</v>
      </c>
      <c r="E189">
        <v>9.6153819999999987E-2</v>
      </c>
      <c r="F189">
        <v>2</v>
      </c>
      <c r="G189">
        <v>100</v>
      </c>
    </row>
    <row r="190" spans="1:8" x14ac:dyDescent="0.35">
      <c r="A190">
        <v>944.53846153846155</v>
      </c>
      <c r="B190">
        <v>14.308606076626978</v>
      </c>
      <c r="C190">
        <v>-18.923691653321189</v>
      </c>
      <c r="D190">
        <v>-25.48779507576505</v>
      </c>
      <c r="E190">
        <v>9.6153819999999987E-2</v>
      </c>
      <c r="F190">
        <v>2</v>
      </c>
      <c r="G190">
        <v>100</v>
      </c>
    </row>
    <row r="191" spans="1:8" x14ac:dyDescent="0.35">
      <c r="A191">
        <v>947.92307692307691</v>
      </c>
      <c r="B191">
        <v>14.395543004603308</v>
      </c>
      <c r="C191">
        <v>-18.96477074137545</v>
      </c>
      <c r="D191">
        <v>-25.095171024547369</v>
      </c>
      <c r="E191">
        <v>9.6153819999999987E-2</v>
      </c>
      <c r="F191">
        <v>2</v>
      </c>
      <c r="G191">
        <v>100</v>
      </c>
    </row>
    <row r="192" spans="1:8" x14ac:dyDescent="0.35">
      <c r="A192">
        <v>951.30769230769226</v>
      </c>
      <c r="B192">
        <v>14.48275938703385</v>
      </c>
      <c r="C192">
        <v>-19.005253127138406</v>
      </c>
      <c r="D192">
        <v>-24.702546973329692</v>
      </c>
      <c r="E192">
        <v>9.6153819999999987E-2</v>
      </c>
      <c r="F192">
        <v>2</v>
      </c>
      <c r="G192">
        <v>100</v>
      </c>
    </row>
    <row r="193" spans="1:8" x14ac:dyDescent="0.35">
      <c r="A193">
        <v>954.69230769230774</v>
      </c>
      <c r="B193">
        <v>14.570251128437706</v>
      </c>
      <c r="C193">
        <v>-19.045136909650246</v>
      </c>
      <c r="D193">
        <v>-24.309922922112012</v>
      </c>
      <c r="E193">
        <v>9.6153819999999987E-2</v>
      </c>
      <c r="F193">
        <v>2</v>
      </c>
      <c r="G193">
        <v>100</v>
      </c>
    </row>
    <row r="194" spans="1:8" x14ac:dyDescent="0.35">
      <c r="A194">
        <v>958.07692307692309</v>
      </c>
      <c r="B194">
        <v>14.658014120403756</v>
      </c>
      <c r="C194">
        <v>-19.084420216060199</v>
      </c>
      <c r="D194">
        <v>-23.917298870894331</v>
      </c>
      <c r="E194">
        <v>9.6153819999999987E-2</v>
      </c>
      <c r="F194">
        <v>2</v>
      </c>
      <c r="G194">
        <v>100</v>
      </c>
    </row>
    <row r="195" spans="1:8" x14ac:dyDescent="0.35">
      <c r="A195">
        <v>961.46153846153845</v>
      </c>
      <c r="B195">
        <v>14.746044241783574</v>
      </c>
      <c r="C195">
        <v>-19.123101201714466</v>
      </c>
      <c r="D195">
        <v>-23.524674819676655</v>
      </c>
      <c r="E195">
        <v>9.6153819999999987E-2</v>
      </c>
      <c r="F195">
        <v>2</v>
      </c>
      <c r="G195">
        <v>100</v>
      </c>
    </row>
    <row r="196" spans="1:8" x14ac:dyDescent="0.35">
      <c r="A196">
        <v>964.84615384615381</v>
      </c>
      <c r="B196">
        <v>14.834337358884952</v>
      </c>
      <c r="C196">
        <v>-19.161178050242849</v>
      </c>
      <c r="D196">
        <v>-23.132050768458974</v>
      </c>
      <c r="E196">
        <v>9.6153819999999987E-2</v>
      </c>
      <c r="F196">
        <v>2</v>
      </c>
      <c r="G196">
        <v>100</v>
      </c>
    </row>
    <row r="197" spans="1:8" x14ac:dyDescent="0.35">
      <c r="A197">
        <v>968.23076923076928</v>
      </c>
      <c r="B197">
        <v>14.922889325666006</v>
      </c>
      <c r="C197">
        <v>-19.198648973644044</v>
      </c>
      <c r="D197">
        <v>-22.739426717241294</v>
      </c>
      <c r="E197">
        <v>9.6153819999999987E-2</v>
      </c>
      <c r="F197">
        <v>2</v>
      </c>
      <c r="G197">
        <v>100</v>
      </c>
    </row>
    <row r="198" spans="1:8" x14ac:dyDescent="0.35">
      <c r="A198">
        <v>971.61538461538464</v>
      </c>
      <c r="B198">
        <v>15.011695983929869</v>
      </c>
      <c r="C198">
        <v>-19.235512212369592</v>
      </c>
      <c r="D198">
        <v>-22.346802666023613</v>
      </c>
      <c r="E198">
        <v>9.6153819999999987E-2</v>
      </c>
      <c r="F198">
        <v>2</v>
      </c>
      <c r="G198">
        <v>100</v>
      </c>
    </row>
    <row r="199" spans="1:8" x14ac:dyDescent="0.35">
      <c r="A199">
        <v>975</v>
      </c>
      <c r="B199">
        <v>15.100753163519942</v>
      </c>
      <c r="C199">
        <v>-19.271766035406515</v>
      </c>
      <c r="D199">
        <v>-21.954178614805937</v>
      </c>
      <c r="E199">
        <v>9.6153819999999987E-2</v>
      </c>
      <c r="F199">
        <v>2</v>
      </c>
      <c r="G199">
        <v>100</v>
      </c>
      <c r="H199">
        <v>13</v>
      </c>
    </row>
    <row r="200" spans="1:8" x14ac:dyDescent="0.35">
      <c r="A200">
        <v>978.53846153846155</v>
      </c>
      <c r="B200">
        <v>15.189747791215899</v>
      </c>
      <c r="C200">
        <v>-19.308172516366607</v>
      </c>
      <c r="D200">
        <v>-22.543414044520393</v>
      </c>
      <c r="E200">
        <v>9.6153819999999987E-2</v>
      </c>
      <c r="F200">
        <v>-3</v>
      </c>
      <c r="G200">
        <v>100</v>
      </c>
    </row>
    <row r="201" spans="1:8" x14ac:dyDescent="0.35">
      <c r="A201">
        <v>982.07692307692309</v>
      </c>
      <c r="B201">
        <v>15.278363311568338</v>
      </c>
      <c r="C201">
        <v>-19.345492285488429</v>
      </c>
      <c r="D201">
        <v>-23.132649474234853</v>
      </c>
      <c r="E201">
        <v>9.6153819999999987E-2</v>
      </c>
      <c r="F201">
        <v>-3</v>
      </c>
      <c r="G201">
        <v>100</v>
      </c>
    </row>
    <row r="202" spans="1:8" x14ac:dyDescent="0.35">
      <c r="A202">
        <v>985.61538461538464</v>
      </c>
      <c r="B202">
        <v>15.366590352445099</v>
      </c>
      <c r="C202">
        <v>-19.383721395768031</v>
      </c>
      <c r="D202">
        <v>-23.721884903949313</v>
      </c>
      <c r="E202">
        <v>9.6153819999999987E-2</v>
      </c>
      <c r="F202">
        <v>-3</v>
      </c>
      <c r="G202">
        <v>100</v>
      </c>
    </row>
    <row r="203" spans="1:8" x14ac:dyDescent="0.35">
      <c r="A203">
        <v>989.15384615384619</v>
      </c>
      <c r="B203">
        <v>15.454419582800289</v>
      </c>
      <c r="C203">
        <v>-19.422855804027961</v>
      </c>
      <c r="D203">
        <v>-24.311120333663773</v>
      </c>
      <c r="E203">
        <v>9.6153819999999987E-2</v>
      </c>
      <c r="F203">
        <v>-3</v>
      </c>
      <c r="G203">
        <v>100</v>
      </c>
    </row>
    <row r="204" spans="1:8" x14ac:dyDescent="0.35">
      <c r="A204">
        <v>992.69230769230774</v>
      </c>
      <c r="B204">
        <v>15.541841713661148</v>
      </c>
      <c r="C204">
        <v>-19.462891371344867</v>
      </c>
      <c r="D204">
        <v>-24.900355763378229</v>
      </c>
      <c r="E204">
        <v>9.6153819999999987E-2</v>
      </c>
      <c r="F204">
        <v>-3</v>
      </c>
      <c r="G204">
        <v>100</v>
      </c>
    </row>
    <row r="205" spans="1:8" x14ac:dyDescent="0.35">
      <c r="A205">
        <v>996.23076923076928</v>
      </c>
      <c r="B205">
        <v>15.628847499110471</v>
      </c>
      <c r="C205">
        <v>-19.503823863487245</v>
      </c>
      <c r="D205">
        <v>-25.489591193092689</v>
      </c>
      <c r="E205">
        <v>9.6153819999999987E-2</v>
      </c>
      <c r="F205">
        <v>-3</v>
      </c>
      <c r="G205">
        <v>100</v>
      </c>
    </row>
    <row r="206" spans="1:8" x14ac:dyDescent="0.35">
      <c r="A206">
        <v>999.76923076923072</v>
      </c>
      <c r="B206">
        <v>15.71542773726447</v>
      </c>
      <c r="C206">
        <v>-19.545648951363258</v>
      </c>
      <c r="D206">
        <v>-26.078826622807149</v>
      </c>
      <c r="E206">
        <v>9.6153819999999987E-2</v>
      </c>
      <c r="F206">
        <v>-3</v>
      </c>
      <c r="G206">
        <v>100</v>
      </c>
    </row>
    <row r="207" spans="1:8" x14ac:dyDescent="0.35">
      <c r="A207">
        <v>1003.3076923076923</v>
      </c>
      <c r="B207">
        <v>15.801573271245985</v>
      </c>
      <c r="C207">
        <v>-19.588362211478582</v>
      </c>
      <c r="D207">
        <v>-26.668062052521609</v>
      </c>
      <c r="E207">
        <v>9.6153819999999987E-2</v>
      </c>
      <c r="F207">
        <v>-3</v>
      </c>
      <c r="G207">
        <v>100</v>
      </c>
    </row>
    <row r="208" spans="1:8" x14ac:dyDescent="0.35">
      <c r="A208">
        <v>1006.8461538461538</v>
      </c>
      <c r="B208">
        <v>15.887274990152925</v>
      </c>
      <c r="C208">
        <v>-19.631959126404247</v>
      </c>
      <c r="D208">
        <v>-27.257297482236066</v>
      </c>
      <c r="E208">
        <v>9.6153819999999987E-2</v>
      </c>
      <c r="F208">
        <v>-3</v>
      </c>
      <c r="G208">
        <v>100</v>
      </c>
    </row>
    <row r="209" spans="1:8" x14ac:dyDescent="0.35">
      <c r="A209">
        <v>1010.3846153846154</v>
      </c>
      <c r="B209">
        <v>15.972523830021856</v>
      </c>
      <c r="C209">
        <v>-19.676435085254404</v>
      </c>
      <c r="D209">
        <v>-27.846532911950526</v>
      </c>
      <c r="E209">
        <v>9.6153819999999987E-2</v>
      </c>
      <c r="F209">
        <v>-3</v>
      </c>
      <c r="G209">
        <v>100</v>
      </c>
    </row>
    <row r="210" spans="1:8" x14ac:dyDescent="0.35">
      <c r="A210">
        <v>1013.9230769230769</v>
      </c>
      <c r="B210">
        <v>16.057310774786625</v>
      </c>
      <c r="C210">
        <v>-19.721785384173991</v>
      </c>
      <c r="D210">
        <v>-28.435768341664986</v>
      </c>
      <c r="E210">
        <v>9.6153819999999987E-2</v>
      </c>
      <c r="F210">
        <v>-3</v>
      </c>
      <c r="G210">
        <v>100</v>
      </c>
    </row>
    <row r="211" spans="1:8" x14ac:dyDescent="0.35">
      <c r="A211">
        <v>1017.4615384615385</v>
      </c>
      <c r="B211">
        <v>16.141626857231909</v>
      </c>
      <c r="C211">
        <v>-19.768005226836205</v>
      </c>
      <c r="D211">
        <v>-29.025003771379446</v>
      </c>
      <c r="E211">
        <v>9.6153819999999987E-2</v>
      </c>
      <c r="F211">
        <v>-3</v>
      </c>
      <c r="G211">
        <v>100</v>
      </c>
    </row>
    <row r="212" spans="1:8" x14ac:dyDescent="0.35">
      <c r="A212">
        <v>1021</v>
      </c>
      <c r="B212">
        <v>16.225463159941604</v>
      </c>
      <c r="C212">
        <v>-19.815089724949789</v>
      </c>
      <c r="D212">
        <v>-29.614239201093909</v>
      </c>
      <c r="E212">
        <v>9.6153819999999987E-2</v>
      </c>
      <c r="F212">
        <v>-3</v>
      </c>
      <c r="G212">
        <v>100</v>
      </c>
      <c r="H212">
        <v>14</v>
      </c>
    </row>
    <row r="213" spans="1:8" x14ac:dyDescent="0.35">
      <c r="A213">
        <v>1081</v>
      </c>
      <c r="B213">
        <v>17.674417377076804</v>
      </c>
      <c r="C213">
        <v>-20.63868665237781</v>
      </c>
      <c r="D213">
        <v>-29.614239201093909</v>
      </c>
      <c r="E213">
        <v>1.6666673999999999</v>
      </c>
      <c r="F213">
        <v>0</v>
      </c>
      <c r="G213">
        <v>100</v>
      </c>
      <c r="H213">
        <v>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4B999-A3DD-41BC-B4A2-543FD45C7576}">
  <sheetPr codeName="Sheet16"/>
  <dimension ref="B1:C151"/>
  <sheetViews>
    <sheetView topLeftCell="A129" workbookViewId="0">
      <selection activeCell="I136" sqref="I136"/>
    </sheetView>
  </sheetViews>
  <sheetFormatPr defaultRowHeight="14.5" x14ac:dyDescent="0.35"/>
  <cols>
    <col min="2" max="2" width="36.54296875" customWidth="1"/>
    <col min="3" max="3" width="12.54296875" customWidth="1"/>
  </cols>
  <sheetData>
    <row r="1" spans="2:3" ht="18.5" x14ac:dyDescent="0.45">
      <c r="B1" s="16" t="s">
        <v>341</v>
      </c>
    </row>
    <row r="3" spans="2:3" x14ac:dyDescent="0.35">
      <c r="B3" s="24" t="s">
        <v>342</v>
      </c>
      <c r="C3" s="29" t="s">
        <v>343</v>
      </c>
    </row>
    <row r="5" spans="2:3" x14ac:dyDescent="0.35">
      <c r="B5" s="30" t="s">
        <v>344</v>
      </c>
    </row>
    <row r="6" spans="2:3" x14ac:dyDescent="0.35">
      <c r="B6" t="s">
        <v>345</v>
      </c>
      <c r="C6">
        <v>-4800</v>
      </c>
    </row>
    <row r="7" spans="2:3" x14ac:dyDescent="0.35">
      <c r="B7" t="s">
        <v>346</v>
      </c>
      <c r="C7">
        <v>-4020</v>
      </c>
    </row>
    <row r="8" spans="2:3" x14ac:dyDescent="0.35">
      <c r="B8" t="s">
        <v>347</v>
      </c>
      <c r="C8">
        <v>-3240</v>
      </c>
    </row>
    <row r="9" spans="2:3" x14ac:dyDescent="0.35">
      <c r="B9" t="s">
        <v>348</v>
      </c>
      <c r="C9">
        <v>-2520</v>
      </c>
    </row>
    <row r="10" spans="2:3" x14ac:dyDescent="0.35">
      <c r="B10" t="s">
        <v>349</v>
      </c>
      <c r="C10">
        <v>-1920</v>
      </c>
    </row>
    <row r="11" spans="2:3" x14ac:dyDescent="0.35">
      <c r="B11" t="s">
        <v>350</v>
      </c>
      <c r="C11">
        <v>-1440</v>
      </c>
    </row>
    <row r="12" spans="2:3" x14ac:dyDescent="0.35">
      <c r="B12" t="s">
        <v>351</v>
      </c>
      <c r="C12">
        <v>-1020</v>
      </c>
    </row>
    <row r="13" spans="2:3" x14ac:dyDescent="0.35">
      <c r="B13" t="s">
        <v>352</v>
      </c>
      <c r="C13">
        <v>-840</v>
      </c>
    </row>
    <row r="14" spans="2:3" x14ac:dyDescent="0.35">
      <c r="B14" t="s">
        <v>353</v>
      </c>
      <c r="C14">
        <v>-660</v>
      </c>
    </row>
    <row r="15" spans="2:3" x14ac:dyDescent="0.35">
      <c r="B15" t="s">
        <v>354</v>
      </c>
      <c r="C15">
        <v>-480</v>
      </c>
    </row>
    <row r="16" spans="2:3" x14ac:dyDescent="0.35">
      <c r="B16" t="s">
        <v>355</v>
      </c>
      <c r="C16">
        <v>-300</v>
      </c>
    </row>
    <row r="17" spans="2:3" x14ac:dyDescent="0.35">
      <c r="B17" t="s">
        <v>356</v>
      </c>
      <c r="C17">
        <v>-120</v>
      </c>
    </row>
    <row r="18" spans="2:3" x14ac:dyDescent="0.35">
      <c r="B18" t="s">
        <v>357</v>
      </c>
      <c r="C18">
        <v>60</v>
      </c>
    </row>
    <row r="19" spans="2:3" x14ac:dyDescent="0.35">
      <c r="B19" t="s">
        <v>358</v>
      </c>
      <c r="C19">
        <v>240</v>
      </c>
    </row>
    <row r="20" spans="2:3" x14ac:dyDescent="0.35">
      <c r="B20" t="s">
        <v>359</v>
      </c>
      <c r="C20">
        <v>360</v>
      </c>
    </row>
    <row r="21" spans="2:3" x14ac:dyDescent="0.35">
      <c r="B21" t="s">
        <v>360</v>
      </c>
      <c r="C21">
        <v>540</v>
      </c>
    </row>
    <row r="22" spans="2:3" x14ac:dyDescent="0.35">
      <c r="B22" t="s">
        <v>361</v>
      </c>
      <c r="C22">
        <v>660</v>
      </c>
    </row>
    <row r="23" spans="2:3" x14ac:dyDescent="0.35">
      <c r="B23" t="s">
        <v>362</v>
      </c>
      <c r="C23">
        <v>720</v>
      </c>
    </row>
    <row r="24" spans="2:3" x14ac:dyDescent="0.35">
      <c r="B24" t="s">
        <v>363</v>
      </c>
      <c r="C24">
        <v>780</v>
      </c>
    </row>
    <row r="25" spans="2:3" x14ac:dyDescent="0.35">
      <c r="B25" t="s">
        <v>364</v>
      </c>
      <c r="C25">
        <v>900</v>
      </c>
    </row>
    <row r="26" spans="2:3" x14ac:dyDescent="0.35">
      <c r="B26" t="s">
        <v>365</v>
      </c>
      <c r="C26">
        <v>1020</v>
      </c>
    </row>
    <row r="27" spans="2:3" x14ac:dyDescent="0.35">
      <c r="B27" t="s">
        <v>366</v>
      </c>
      <c r="C27">
        <v>1080</v>
      </c>
    </row>
    <row r="28" spans="2:3" x14ac:dyDescent="0.35">
      <c r="B28" t="s">
        <v>367</v>
      </c>
      <c r="C28">
        <v>1140</v>
      </c>
    </row>
    <row r="29" spans="2:3" x14ac:dyDescent="0.35">
      <c r="B29" t="s">
        <v>368</v>
      </c>
      <c r="C29">
        <v>1260</v>
      </c>
    </row>
    <row r="30" spans="2:3" x14ac:dyDescent="0.35">
      <c r="B30" t="s">
        <v>369</v>
      </c>
      <c r="C30">
        <v>1380</v>
      </c>
    </row>
    <row r="31" spans="2:3" x14ac:dyDescent="0.35">
      <c r="B31" t="s">
        <v>370</v>
      </c>
      <c r="C31">
        <v>1440</v>
      </c>
    </row>
    <row r="32" spans="2:3" x14ac:dyDescent="0.35">
      <c r="B32" t="s">
        <v>371</v>
      </c>
      <c r="C32">
        <v>1500</v>
      </c>
    </row>
    <row r="33" spans="2:3" x14ac:dyDescent="0.35">
      <c r="B33" t="s">
        <v>372</v>
      </c>
      <c r="C33">
        <v>1560</v>
      </c>
    </row>
    <row r="34" spans="2:3" x14ac:dyDescent="0.35">
      <c r="B34" t="s">
        <v>373</v>
      </c>
      <c r="C34">
        <v>1620</v>
      </c>
    </row>
    <row r="35" spans="2:3" x14ac:dyDescent="0.35">
      <c r="B35" t="s">
        <v>374</v>
      </c>
      <c r="C35">
        <v>1680</v>
      </c>
    </row>
    <row r="36" spans="2:3" x14ac:dyDescent="0.35">
      <c r="B36" t="s">
        <v>375</v>
      </c>
      <c r="C36">
        <v>1800</v>
      </c>
    </row>
    <row r="37" spans="2:3" x14ac:dyDescent="0.35">
      <c r="B37" t="s">
        <v>376</v>
      </c>
      <c r="C37">
        <v>1860</v>
      </c>
    </row>
    <row r="38" spans="2:3" x14ac:dyDescent="0.35">
      <c r="B38" t="s">
        <v>377</v>
      </c>
      <c r="C38">
        <v>1920</v>
      </c>
    </row>
    <row r="39" spans="2:3" x14ac:dyDescent="0.35">
      <c r="B39" t="s">
        <v>378</v>
      </c>
      <c r="C39">
        <v>1980</v>
      </c>
    </row>
    <row r="40" spans="2:3" x14ac:dyDescent="0.35">
      <c r="B40" t="s">
        <v>379</v>
      </c>
      <c r="C40">
        <v>2040</v>
      </c>
    </row>
    <row r="41" spans="2:3" x14ac:dyDescent="0.35">
      <c r="B41" t="s">
        <v>380</v>
      </c>
      <c r="C41">
        <v>2100</v>
      </c>
    </row>
    <row r="42" spans="2:3" x14ac:dyDescent="0.35">
      <c r="B42" t="s">
        <v>381</v>
      </c>
      <c r="C42">
        <v>2160</v>
      </c>
    </row>
    <row r="43" spans="2:3" x14ac:dyDescent="0.35">
      <c r="B43" t="s">
        <v>382</v>
      </c>
      <c r="C43">
        <v>2220</v>
      </c>
    </row>
    <row r="44" spans="2:3" x14ac:dyDescent="0.35">
      <c r="B44" t="s">
        <v>383</v>
      </c>
      <c r="C44">
        <v>2280</v>
      </c>
    </row>
    <row r="45" spans="2:3" x14ac:dyDescent="0.35">
      <c r="B45" t="s">
        <v>384</v>
      </c>
      <c r="C45">
        <v>2340</v>
      </c>
    </row>
    <row r="46" spans="2:3" x14ac:dyDescent="0.35">
      <c r="B46" t="s">
        <v>385</v>
      </c>
      <c r="C46">
        <v>2460</v>
      </c>
    </row>
    <row r="47" spans="2:3" x14ac:dyDescent="0.35">
      <c r="B47" t="s">
        <v>386</v>
      </c>
      <c r="C47">
        <v>2520</v>
      </c>
    </row>
    <row r="48" spans="2:3" x14ac:dyDescent="0.35">
      <c r="B48" t="s">
        <v>387</v>
      </c>
      <c r="C48">
        <v>2580</v>
      </c>
    </row>
    <row r="49" spans="2:3" x14ac:dyDescent="0.35">
      <c r="B49" t="s">
        <v>388</v>
      </c>
      <c r="C49">
        <v>2640</v>
      </c>
    </row>
    <row r="50" spans="2:3" x14ac:dyDescent="0.35">
      <c r="B50" t="s">
        <v>389</v>
      </c>
      <c r="C50">
        <v>2760</v>
      </c>
    </row>
    <row r="51" spans="2:3" x14ac:dyDescent="0.35">
      <c r="B51" t="s">
        <v>390</v>
      </c>
      <c r="C51">
        <v>2820</v>
      </c>
    </row>
    <row r="52" spans="2:3" x14ac:dyDescent="0.35">
      <c r="B52" t="s">
        <v>391</v>
      </c>
      <c r="C52">
        <v>2940</v>
      </c>
    </row>
    <row r="53" spans="2:3" x14ac:dyDescent="0.35">
      <c r="B53" t="s">
        <v>392</v>
      </c>
      <c r="C53">
        <v>3000</v>
      </c>
    </row>
    <row r="54" spans="2:3" x14ac:dyDescent="0.35">
      <c r="B54" t="s">
        <v>393</v>
      </c>
      <c r="C54">
        <v>3120</v>
      </c>
    </row>
    <row r="55" spans="2:3" x14ac:dyDescent="0.35">
      <c r="B55" t="s">
        <v>394</v>
      </c>
      <c r="C55">
        <v>3180</v>
      </c>
    </row>
    <row r="56" spans="2:3" x14ac:dyDescent="0.35">
      <c r="B56" t="s">
        <v>395</v>
      </c>
      <c r="C56">
        <v>3300</v>
      </c>
    </row>
    <row r="58" spans="2:3" x14ac:dyDescent="0.35">
      <c r="B58" s="30" t="s">
        <v>396</v>
      </c>
    </row>
    <row r="59" spans="2:3" x14ac:dyDescent="0.35">
      <c r="B59" t="s">
        <v>397</v>
      </c>
      <c r="C59">
        <v>3360</v>
      </c>
    </row>
    <row r="60" spans="2:3" x14ac:dyDescent="0.35">
      <c r="B60" t="s">
        <v>398</v>
      </c>
      <c r="C60">
        <v>3420</v>
      </c>
    </row>
    <row r="61" spans="2:3" x14ac:dyDescent="0.35">
      <c r="B61" t="s">
        <v>399</v>
      </c>
      <c r="C61">
        <v>3480</v>
      </c>
    </row>
    <row r="62" spans="2:3" x14ac:dyDescent="0.35">
      <c r="B62" t="s">
        <v>400</v>
      </c>
      <c r="C62">
        <v>3540</v>
      </c>
    </row>
    <row r="63" spans="2:3" x14ac:dyDescent="0.35">
      <c r="B63" t="s">
        <v>401</v>
      </c>
      <c r="C63">
        <v>3600</v>
      </c>
    </row>
    <row r="64" spans="2:3" x14ac:dyDescent="0.35">
      <c r="B64" t="s">
        <v>402</v>
      </c>
      <c r="C64">
        <v>3660</v>
      </c>
    </row>
    <row r="65" spans="2:3" x14ac:dyDescent="0.35">
      <c r="B65" t="s">
        <v>403</v>
      </c>
      <c r="C65">
        <v>3720</v>
      </c>
    </row>
    <row r="66" spans="2:3" x14ac:dyDescent="0.35">
      <c r="B66" t="s">
        <v>404</v>
      </c>
      <c r="C66">
        <v>3840</v>
      </c>
    </row>
    <row r="67" spans="2:3" x14ac:dyDescent="0.35">
      <c r="B67" t="s">
        <v>405</v>
      </c>
      <c r="C67">
        <v>3960</v>
      </c>
    </row>
    <row r="68" spans="2:3" x14ac:dyDescent="0.35">
      <c r="B68" t="s">
        <v>406</v>
      </c>
      <c r="C68">
        <v>4080</v>
      </c>
    </row>
    <row r="69" spans="2:3" x14ac:dyDescent="0.35">
      <c r="B69" t="s">
        <v>407</v>
      </c>
      <c r="C69">
        <v>4260</v>
      </c>
    </row>
    <row r="70" spans="2:3" x14ac:dyDescent="0.35">
      <c r="B70" t="s">
        <v>408</v>
      </c>
      <c r="C70">
        <v>4440</v>
      </c>
    </row>
    <row r="73" spans="2:3" x14ac:dyDescent="0.35">
      <c r="B73" s="30" t="s">
        <v>424</v>
      </c>
    </row>
    <row r="74" spans="2:3" x14ac:dyDescent="0.35">
      <c r="B74" t="s">
        <v>408</v>
      </c>
      <c r="C74">
        <v>-5940</v>
      </c>
    </row>
    <row r="75" spans="2:3" x14ac:dyDescent="0.35">
      <c r="B75" t="s">
        <v>407</v>
      </c>
      <c r="C75">
        <v>-5760</v>
      </c>
    </row>
    <row r="76" spans="2:3" x14ac:dyDescent="0.35">
      <c r="B76" t="s">
        <v>406</v>
      </c>
      <c r="C76">
        <v>-5580</v>
      </c>
    </row>
    <row r="77" spans="2:3" x14ac:dyDescent="0.35">
      <c r="B77" t="s">
        <v>405</v>
      </c>
      <c r="C77">
        <v>-5460</v>
      </c>
    </row>
    <row r="78" spans="2:3" x14ac:dyDescent="0.35">
      <c r="B78" t="s">
        <v>404</v>
      </c>
      <c r="C78">
        <v>-5340</v>
      </c>
    </row>
    <row r="79" spans="2:3" x14ac:dyDescent="0.35">
      <c r="B79" t="s">
        <v>403</v>
      </c>
      <c r="C79">
        <v>-5220</v>
      </c>
    </row>
    <row r="80" spans="2:3" x14ac:dyDescent="0.35">
      <c r="B80" t="s">
        <v>402</v>
      </c>
      <c r="C80">
        <v>-5160</v>
      </c>
    </row>
    <row r="81" spans="2:3" x14ac:dyDescent="0.35">
      <c r="B81" t="s">
        <v>425</v>
      </c>
      <c r="C81">
        <v>-5100</v>
      </c>
    </row>
    <row r="82" spans="2:3" x14ac:dyDescent="0.35">
      <c r="B82" t="s">
        <v>400</v>
      </c>
      <c r="C82">
        <v>-5040</v>
      </c>
    </row>
    <row r="83" spans="2:3" x14ac:dyDescent="0.35">
      <c r="B83" t="s">
        <v>399</v>
      </c>
      <c r="C83">
        <v>-4980</v>
      </c>
    </row>
    <row r="84" spans="2:3" x14ac:dyDescent="0.35">
      <c r="B84" t="s">
        <v>398</v>
      </c>
      <c r="C84">
        <v>-4920</v>
      </c>
    </row>
    <row r="85" spans="2:3" x14ac:dyDescent="0.35">
      <c r="B85" t="s">
        <v>397</v>
      </c>
      <c r="C85">
        <v>-4860</v>
      </c>
    </row>
    <row r="86" spans="2:3" x14ac:dyDescent="0.35">
      <c r="B86" t="s">
        <v>426</v>
      </c>
      <c r="C86">
        <v>-4800</v>
      </c>
    </row>
    <row r="87" spans="2:3" x14ac:dyDescent="0.35">
      <c r="B87" t="s">
        <v>426</v>
      </c>
      <c r="C87">
        <v>-4440</v>
      </c>
    </row>
    <row r="89" spans="2:3" x14ac:dyDescent="0.35">
      <c r="B89" s="30" t="s">
        <v>427</v>
      </c>
    </row>
    <row r="90" spans="2:3" x14ac:dyDescent="0.35">
      <c r="B90" t="s">
        <v>394</v>
      </c>
      <c r="C90">
        <v>-4380</v>
      </c>
    </row>
    <row r="91" spans="2:3" x14ac:dyDescent="0.35">
      <c r="B91" t="s">
        <v>393</v>
      </c>
      <c r="C91">
        <v>-4320</v>
      </c>
    </row>
    <row r="92" spans="2:3" x14ac:dyDescent="0.35">
      <c r="B92" t="s">
        <v>392</v>
      </c>
      <c r="C92">
        <v>-4260</v>
      </c>
    </row>
    <row r="93" spans="2:3" x14ac:dyDescent="0.35">
      <c r="B93" t="s">
        <v>391</v>
      </c>
      <c r="C93">
        <v>-4140</v>
      </c>
    </row>
    <row r="94" spans="2:3" x14ac:dyDescent="0.35">
      <c r="B94" t="s">
        <v>390</v>
      </c>
      <c r="C94">
        <v>-4020</v>
      </c>
    </row>
    <row r="95" spans="2:3" x14ac:dyDescent="0.35">
      <c r="B95" t="s">
        <v>389</v>
      </c>
      <c r="C95">
        <v>-3960</v>
      </c>
    </row>
    <row r="96" spans="2:3" x14ac:dyDescent="0.35">
      <c r="B96" t="s">
        <v>388</v>
      </c>
      <c r="C96">
        <v>-3840</v>
      </c>
    </row>
    <row r="97" spans="2:3" x14ac:dyDescent="0.35">
      <c r="B97" t="s">
        <v>428</v>
      </c>
      <c r="C97">
        <v>-3780</v>
      </c>
    </row>
    <row r="98" spans="2:3" x14ac:dyDescent="0.35">
      <c r="B98" t="s">
        <v>386</v>
      </c>
      <c r="C98">
        <v>-3720</v>
      </c>
    </row>
    <row r="99" spans="2:3" x14ac:dyDescent="0.35">
      <c r="B99" t="s">
        <v>385</v>
      </c>
      <c r="C99">
        <v>-3600</v>
      </c>
    </row>
    <row r="100" spans="2:3" x14ac:dyDescent="0.35">
      <c r="B100" t="s">
        <v>384</v>
      </c>
      <c r="C100">
        <v>-3540</v>
      </c>
    </row>
    <row r="101" spans="2:3" x14ac:dyDescent="0.35">
      <c r="B101" t="s">
        <v>383</v>
      </c>
      <c r="C101">
        <v>-3480</v>
      </c>
    </row>
    <row r="102" spans="2:3" x14ac:dyDescent="0.35">
      <c r="B102" t="s">
        <v>382</v>
      </c>
      <c r="C102">
        <v>-3420</v>
      </c>
    </row>
    <row r="103" spans="2:3" x14ac:dyDescent="0.35">
      <c r="B103" t="s">
        <v>381</v>
      </c>
      <c r="C103">
        <v>-3300</v>
      </c>
    </row>
    <row r="104" spans="2:3" x14ac:dyDescent="0.35">
      <c r="B104" t="s">
        <v>380</v>
      </c>
      <c r="C104">
        <v>-3180</v>
      </c>
    </row>
    <row r="105" spans="2:3" x14ac:dyDescent="0.35">
      <c r="B105" t="s">
        <v>379</v>
      </c>
      <c r="C105">
        <v>-3060</v>
      </c>
    </row>
    <row r="106" spans="2:3" x14ac:dyDescent="0.35">
      <c r="B106" t="s">
        <v>377</v>
      </c>
      <c r="C106">
        <v>-3000</v>
      </c>
    </row>
    <row r="107" spans="2:3" x14ac:dyDescent="0.35">
      <c r="B107" t="s">
        <v>376</v>
      </c>
      <c r="C107">
        <v>-2880</v>
      </c>
    </row>
    <row r="108" spans="2:3" x14ac:dyDescent="0.35">
      <c r="B108" t="s">
        <v>375</v>
      </c>
      <c r="C108">
        <v>-2820</v>
      </c>
    </row>
    <row r="109" spans="2:3" x14ac:dyDescent="0.35">
      <c r="B109" t="s">
        <v>374</v>
      </c>
      <c r="C109">
        <v>-2700</v>
      </c>
    </row>
    <row r="110" spans="2:3" x14ac:dyDescent="0.35">
      <c r="B110" t="s">
        <v>373</v>
      </c>
      <c r="C110">
        <v>-2640</v>
      </c>
    </row>
    <row r="111" spans="2:3" x14ac:dyDescent="0.35">
      <c r="B111" t="s">
        <v>372</v>
      </c>
      <c r="C111">
        <v>-2520</v>
      </c>
    </row>
    <row r="112" spans="2:3" x14ac:dyDescent="0.35">
      <c r="B112" t="s">
        <v>371</v>
      </c>
      <c r="C112">
        <v>-2460</v>
      </c>
    </row>
    <row r="113" spans="2:3" x14ac:dyDescent="0.35">
      <c r="B113" t="s">
        <v>370</v>
      </c>
      <c r="C113">
        <v>-2400</v>
      </c>
    </row>
    <row r="114" spans="2:3" x14ac:dyDescent="0.35">
      <c r="B114" t="s">
        <v>369</v>
      </c>
      <c r="C114">
        <v>-2340</v>
      </c>
    </row>
    <row r="115" spans="2:3" x14ac:dyDescent="0.35">
      <c r="B115" t="s">
        <v>368</v>
      </c>
      <c r="C115">
        <v>-2280</v>
      </c>
    </row>
    <row r="116" spans="2:3" x14ac:dyDescent="0.35">
      <c r="B116" t="s">
        <v>367</v>
      </c>
      <c r="C116">
        <v>-2220</v>
      </c>
    </row>
    <row r="117" spans="2:3" x14ac:dyDescent="0.35">
      <c r="B117" t="s">
        <v>366</v>
      </c>
      <c r="C117">
        <v>-2160</v>
      </c>
    </row>
    <row r="118" spans="2:3" x14ac:dyDescent="0.35">
      <c r="B118" t="s">
        <v>365</v>
      </c>
      <c r="C118">
        <v>-2100</v>
      </c>
    </row>
    <row r="119" spans="2:3" x14ac:dyDescent="0.35">
      <c r="B119" t="s">
        <v>364</v>
      </c>
      <c r="C119">
        <v>-2040</v>
      </c>
    </row>
    <row r="120" spans="2:3" x14ac:dyDescent="0.35">
      <c r="B120" t="s">
        <v>363</v>
      </c>
      <c r="C120">
        <v>-1980</v>
      </c>
    </row>
    <row r="121" spans="2:3" x14ac:dyDescent="0.35">
      <c r="B121" t="s">
        <v>362</v>
      </c>
      <c r="C121">
        <v>-1860</v>
      </c>
    </row>
    <row r="122" spans="2:3" x14ac:dyDescent="0.35">
      <c r="B122" t="s">
        <v>361</v>
      </c>
      <c r="C122">
        <v>-1800</v>
      </c>
    </row>
    <row r="123" spans="2:3" x14ac:dyDescent="0.35">
      <c r="B123" t="s">
        <v>360</v>
      </c>
      <c r="C123">
        <v>-1740</v>
      </c>
    </row>
    <row r="124" spans="2:3" x14ac:dyDescent="0.35">
      <c r="B124" t="s">
        <v>359</v>
      </c>
      <c r="C124">
        <v>-1620</v>
      </c>
    </row>
    <row r="125" spans="2:3" x14ac:dyDescent="0.35">
      <c r="B125" t="s">
        <v>358</v>
      </c>
      <c r="C125">
        <v>-1560</v>
      </c>
    </row>
    <row r="126" spans="2:3" x14ac:dyDescent="0.35">
      <c r="B126" t="s">
        <v>357</v>
      </c>
      <c r="C126">
        <v>-1440</v>
      </c>
    </row>
    <row r="127" spans="2:3" x14ac:dyDescent="0.35">
      <c r="B127" t="s">
        <v>356</v>
      </c>
      <c r="C127">
        <v>-1320</v>
      </c>
    </row>
    <row r="128" spans="2:3" x14ac:dyDescent="0.35">
      <c r="B128" t="s">
        <v>355</v>
      </c>
      <c r="C128">
        <v>-1200</v>
      </c>
    </row>
    <row r="129" spans="2:3" x14ac:dyDescent="0.35">
      <c r="B129" t="s">
        <v>354</v>
      </c>
      <c r="C129">
        <v>-1080</v>
      </c>
    </row>
    <row r="130" spans="2:3" x14ac:dyDescent="0.35">
      <c r="B130" t="s">
        <v>353</v>
      </c>
      <c r="C130">
        <v>-960</v>
      </c>
    </row>
    <row r="131" spans="2:3" x14ac:dyDescent="0.35">
      <c r="B131" t="s">
        <v>352</v>
      </c>
      <c r="C131">
        <v>-780</v>
      </c>
    </row>
    <row r="132" spans="2:3" x14ac:dyDescent="0.35">
      <c r="B132" t="s">
        <v>351</v>
      </c>
      <c r="C132">
        <v>-660</v>
      </c>
    </row>
    <row r="133" spans="2:3" x14ac:dyDescent="0.35">
      <c r="B133" t="s">
        <v>350</v>
      </c>
      <c r="C133">
        <v>-540</v>
      </c>
    </row>
    <row r="134" spans="2:3" x14ac:dyDescent="0.35">
      <c r="B134" t="s">
        <v>349</v>
      </c>
      <c r="C134">
        <v>-420</v>
      </c>
    </row>
    <row r="135" spans="2:3" x14ac:dyDescent="0.35">
      <c r="B135" t="s">
        <v>348</v>
      </c>
      <c r="C135">
        <v>-300</v>
      </c>
    </row>
    <row r="136" spans="2:3" x14ac:dyDescent="0.35">
      <c r="B136" t="s">
        <v>347</v>
      </c>
      <c r="C136">
        <v>-180</v>
      </c>
    </row>
    <row r="137" spans="2:3" x14ac:dyDescent="0.35">
      <c r="B137" t="s">
        <v>346</v>
      </c>
      <c r="C137">
        <v>-60</v>
      </c>
    </row>
    <row r="138" spans="2:3" x14ac:dyDescent="0.35">
      <c r="B138" t="s">
        <v>345</v>
      </c>
      <c r="C138">
        <v>60</v>
      </c>
    </row>
    <row r="141" spans="2:3" x14ac:dyDescent="0.35">
      <c r="B141" s="30" t="s">
        <v>409</v>
      </c>
    </row>
    <row r="142" spans="2:3" x14ac:dyDescent="0.35">
      <c r="B142" t="s">
        <v>410</v>
      </c>
      <c r="C142">
        <v>20</v>
      </c>
    </row>
    <row r="143" spans="2:3" x14ac:dyDescent="0.35">
      <c r="B143" t="s">
        <v>411</v>
      </c>
      <c r="C143">
        <v>1600</v>
      </c>
    </row>
    <row r="144" spans="2:3" x14ac:dyDescent="0.35">
      <c r="B144" t="s">
        <v>412</v>
      </c>
      <c r="C144">
        <v>100</v>
      </c>
    </row>
    <row r="146" spans="2:3" x14ac:dyDescent="0.35">
      <c r="B146" s="30" t="s">
        <v>429</v>
      </c>
    </row>
    <row r="147" spans="2:3" x14ac:dyDescent="0.35">
      <c r="B147" t="s">
        <v>430</v>
      </c>
      <c r="C147" s="32" t="s">
        <v>28</v>
      </c>
    </row>
    <row r="148" spans="2:3" x14ac:dyDescent="0.35">
      <c r="B148" t="s">
        <v>413</v>
      </c>
      <c r="C148" s="31">
        <v>-4140</v>
      </c>
    </row>
    <row r="149" spans="2:3" x14ac:dyDescent="0.35">
      <c r="B149" t="s">
        <v>414</v>
      </c>
      <c r="C149" t="str">
        <f>FormulaTv($C$148,dataActiveBranch,$C$147)</f>
        <v>8</v>
      </c>
    </row>
    <row r="150" spans="2:3" x14ac:dyDescent="0.35">
      <c r="B150" t="s">
        <v>31</v>
      </c>
      <c r="C150">
        <f>FormulaISO($C$148,dataActiveBranch,$C$147)</f>
        <v>100</v>
      </c>
    </row>
    <row r="151" spans="2:3" x14ac:dyDescent="0.35">
      <c r="B151" t="s">
        <v>415</v>
      </c>
      <c r="C151" t="str">
        <f>dataActiveBranch</f>
        <v>default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5B798-F362-41B4-A24F-297300F3EB7F}">
  <sheetPr codeName="Sheet10"/>
  <dimension ref="B1:H50"/>
  <sheetViews>
    <sheetView topLeftCell="A15" workbookViewId="0">
      <selection activeCell="D23" sqref="D23"/>
    </sheetView>
  </sheetViews>
  <sheetFormatPr defaultRowHeight="14.5" x14ac:dyDescent="0.35"/>
  <cols>
    <col min="2" max="2" width="38.7265625" customWidth="1"/>
    <col min="3" max="3" width="14.7265625" customWidth="1"/>
    <col min="4" max="5" width="12.7265625" customWidth="1"/>
    <col min="6" max="8" width="10.7265625" customWidth="1"/>
  </cols>
  <sheetData>
    <row r="1" spans="2:4" ht="18.5" x14ac:dyDescent="0.45">
      <c r="B1" s="16" t="s">
        <v>435</v>
      </c>
    </row>
    <row r="3" spans="2:4" x14ac:dyDescent="0.35">
      <c r="B3" s="30" t="s">
        <v>436</v>
      </c>
    </row>
    <row r="4" spans="2:4" x14ac:dyDescent="0.35">
      <c r="B4" t="s">
        <v>437</v>
      </c>
      <c r="C4" s="10">
        <v>46159.705555555556</v>
      </c>
    </row>
    <row r="5" spans="2:4" x14ac:dyDescent="0.35">
      <c r="B5" t="s">
        <v>438</v>
      </c>
      <c r="C5" t="s">
        <v>439</v>
      </c>
    </row>
    <row r="6" spans="2:4" x14ac:dyDescent="0.35">
      <c r="B6" t="s">
        <v>440</v>
      </c>
    </row>
    <row r="7" spans="2:4" x14ac:dyDescent="0.35">
      <c r="B7" t="s">
        <v>441</v>
      </c>
      <c r="C7" s="32">
        <v>32</v>
      </c>
    </row>
    <row r="8" spans="2:4" x14ac:dyDescent="0.35">
      <c r="B8" t="s">
        <v>442</v>
      </c>
      <c r="C8" s="31" t="s">
        <v>443</v>
      </c>
    </row>
    <row r="9" spans="2:4" x14ac:dyDescent="0.35">
      <c r="B9" t="s">
        <v>71</v>
      </c>
    </row>
    <row r="11" spans="2:4" x14ac:dyDescent="0.35">
      <c r="B11" s="30" t="s">
        <v>444</v>
      </c>
      <c r="C11" s="24" t="s">
        <v>445</v>
      </c>
      <c r="D11" s="24" t="s">
        <v>446</v>
      </c>
    </row>
    <row r="12" spans="2:4" x14ac:dyDescent="0.35">
      <c r="B12" t="s">
        <v>447</v>
      </c>
      <c r="C12" s="34">
        <v>-1300</v>
      </c>
      <c r="D12" s="32">
        <v>1000</v>
      </c>
    </row>
    <row r="13" spans="2:4" x14ac:dyDescent="0.35">
      <c r="B13" t="s">
        <v>448</v>
      </c>
      <c r="C13" s="34">
        <v>-1500</v>
      </c>
      <c r="D13" s="32">
        <v>1970</v>
      </c>
    </row>
    <row r="14" spans="2:4" x14ac:dyDescent="0.35">
      <c r="B14" t="s">
        <v>449</v>
      </c>
      <c r="C14" s="34">
        <v>-500</v>
      </c>
      <c r="D14" s="32">
        <v>3040</v>
      </c>
    </row>
    <row r="15" spans="2:4" x14ac:dyDescent="0.35">
      <c r="B15" t="s">
        <v>450</v>
      </c>
      <c r="C15" s="34">
        <v>100</v>
      </c>
      <c r="D15" s="32">
        <v>3200</v>
      </c>
    </row>
    <row r="16" spans="2:4" x14ac:dyDescent="0.35">
      <c r="B16" t="s">
        <v>451</v>
      </c>
      <c r="C16" s="34">
        <v>1500</v>
      </c>
      <c r="D16" s="32">
        <v>2620</v>
      </c>
    </row>
    <row r="17" spans="2:4" x14ac:dyDescent="0.35">
      <c r="B17" t="s">
        <v>452</v>
      </c>
      <c r="C17" s="34">
        <v>1800</v>
      </c>
      <c r="D17" s="32">
        <v>1500</v>
      </c>
    </row>
    <row r="18" spans="2:4" x14ac:dyDescent="0.35">
      <c r="B18" t="s">
        <v>453</v>
      </c>
      <c r="C18" s="35">
        <v>1370</v>
      </c>
      <c r="D18" s="31">
        <v>290</v>
      </c>
    </row>
    <row r="19" spans="2:4" x14ac:dyDescent="0.35">
      <c r="B19" t="s">
        <v>454</v>
      </c>
      <c r="C19" s="33">
        <v>0</v>
      </c>
      <c r="D19" s="36">
        <v>-280</v>
      </c>
    </row>
    <row r="20" spans="2:4" x14ac:dyDescent="0.35">
      <c r="C20" s="33"/>
      <c r="D20" s="36"/>
    </row>
    <row r="22" spans="2:4" x14ac:dyDescent="0.35">
      <c r="B22" s="30" t="s">
        <v>455</v>
      </c>
    </row>
    <row r="23" spans="2:4" x14ac:dyDescent="0.35">
      <c r="B23" t="s">
        <v>456</v>
      </c>
      <c r="C23">
        <f>FitCircle($C$12:$C$19,$D$12:$D$19,"cx")</f>
        <v>183.40542901951147</v>
      </c>
    </row>
    <row r="24" spans="2:4" x14ac:dyDescent="0.35">
      <c r="B24" t="s">
        <v>457</v>
      </c>
      <c r="C24">
        <f>FitCircle($C$12:$C$19,$D$12:$D$19,"cy")</f>
        <v>1492.9726318852627</v>
      </c>
    </row>
    <row r="25" spans="2:4" x14ac:dyDescent="0.35">
      <c r="B25" t="s">
        <v>458</v>
      </c>
      <c r="C25">
        <f>FitCircle($C$12:$C$19,$D$12:$D$19,"r")</f>
        <v>1693.2002564523245</v>
      </c>
    </row>
    <row r="26" spans="2:4" x14ac:dyDescent="0.35">
      <c r="B26" t="s">
        <v>459</v>
      </c>
      <c r="C26">
        <f>2*$C$25</f>
        <v>3386.4005129046491</v>
      </c>
    </row>
    <row r="27" spans="2:4" x14ac:dyDescent="0.35">
      <c r="B27" t="s">
        <v>460</v>
      </c>
      <c r="C27">
        <f>FitCircle($C$12:$C$19,$D$12:$D$19,"scatter_mm")</f>
        <v>66.881748094237324</v>
      </c>
    </row>
    <row r="28" spans="2:4" x14ac:dyDescent="0.35">
      <c r="B28" t="s">
        <v>461</v>
      </c>
      <c r="C28">
        <f>SQRT($C$23^2+$C$24^2)</f>
        <v>1504.1957422331175</v>
      </c>
    </row>
    <row r="30" spans="2:4" x14ac:dyDescent="0.35">
      <c r="B30" t="s">
        <v>462</v>
      </c>
      <c r="C30">
        <f>DEGREES(ATAN(490/$C$25))</f>
        <v>16.140063822570639</v>
      </c>
    </row>
    <row r="31" spans="2:4" x14ac:dyDescent="0.35">
      <c r="B31" t="s">
        <v>463</v>
      </c>
      <c r="C31">
        <f>$C$30/ABS($C$7)</f>
        <v>0.50437699445533246</v>
      </c>
    </row>
    <row r="32" spans="2:4" x14ac:dyDescent="0.35">
      <c r="B32" t="s">
        <v>464</v>
      </c>
      <c r="C32">
        <v>0.35</v>
      </c>
    </row>
    <row r="35" spans="2:8" x14ac:dyDescent="0.35">
      <c r="B35" s="30" t="s">
        <v>465</v>
      </c>
    </row>
    <row r="36" spans="2:8" x14ac:dyDescent="0.35">
      <c r="B36" t="s">
        <v>466</v>
      </c>
    </row>
    <row r="38" spans="2:8" x14ac:dyDescent="0.35">
      <c r="B38" s="24" t="s">
        <v>467</v>
      </c>
      <c r="C38" s="24" t="s">
        <v>468</v>
      </c>
      <c r="D38" s="24" t="s">
        <v>469</v>
      </c>
      <c r="E38" s="24" t="s">
        <v>470</v>
      </c>
      <c r="F38" s="24" t="s">
        <v>471</v>
      </c>
      <c r="G38" s="24" t="s">
        <v>472</v>
      </c>
      <c r="H38" s="24" t="s">
        <v>473</v>
      </c>
    </row>
    <row r="39" spans="2:8" x14ac:dyDescent="0.35">
      <c r="B39" t="s">
        <v>474</v>
      </c>
      <c r="C39" s="32"/>
      <c r="D39" t="str">
        <f>IFERROR(TraceAtLogRow($C$39,"x_mm"),"")</f>
        <v/>
      </c>
      <c r="E39" t="str">
        <f>IFERROR(TraceAtLogRow($C$39,"y_mm"),"")</f>
        <v/>
      </c>
      <c r="F39" t="str">
        <f>IFERROR($C$12-$D$39,"")</f>
        <v/>
      </c>
      <c r="G39" t="str">
        <f>IFERROR($D$12-$E$39,"")</f>
        <v/>
      </c>
      <c r="H39" t="str">
        <f>IFERROR(SQRT($F$39^2+$G$39^2),"")</f>
        <v/>
      </c>
    </row>
    <row r="40" spans="2:8" x14ac:dyDescent="0.35">
      <c r="B40" t="s">
        <v>475</v>
      </c>
      <c r="C40" s="32"/>
      <c r="D40" t="str">
        <f>IFERROR(TraceAtLogRow($C$40,"x_mm"),"")</f>
        <v/>
      </c>
      <c r="E40" t="str">
        <f>IFERROR(TraceAtLogRow($C$40,"y_mm"),"")</f>
        <v/>
      </c>
      <c r="F40" t="str">
        <f>IFERROR($C$13-$D$40,"")</f>
        <v/>
      </c>
      <c r="G40" t="str">
        <f>IFERROR($D$13-$E$40,"")</f>
        <v/>
      </c>
      <c r="H40" t="str">
        <f>IFERROR(SQRT($F$40^2+$G$40^2),"")</f>
        <v/>
      </c>
    </row>
    <row r="41" spans="2:8" x14ac:dyDescent="0.35">
      <c r="B41" t="s">
        <v>476</v>
      </c>
      <c r="C41" s="32"/>
      <c r="D41" t="str">
        <f>IFERROR(TraceAtLogRow($C$41,"x_mm"),"")</f>
        <v/>
      </c>
      <c r="E41" t="str">
        <f>IFERROR(TraceAtLogRow($C$41,"y_mm"),"")</f>
        <v/>
      </c>
      <c r="F41" t="str">
        <f>IFERROR($C$14-$D$41,"")</f>
        <v/>
      </c>
      <c r="G41" t="str">
        <f>IFERROR($D$14-$E$41,"")</f>
        <v/>
      </c>
      <c r="H41" t="str">
        <f>IFERROR(SQRT($F$41^2+$G$41^2),"")</f>
        <v/>
      </c>
    </row>
    <row r="42" spans="2:8" x14ac:dyDescent="0.35">
      <c r="B42" t="s">
        <v>477</v>
      </c>
      <c r="C42" s="32"/>
      <c r="D42" t="str">
        <f>IFERROR(TraceAtLogRow($C$42,"x_mm"),"")</f>
        <v/>
      </c>
      <c r="E42" t="str">
        <f>IFERROR(TraceAtLogRow($C$42,"y_mm"),"")</f>
        <v/>
      </c>
      <c r="F42" t="str">
        <f>IFERROR($C$15-$D$42,"")</f>
        <v/>
      </c>
      <c r="G42" t="str">
        <f>IFERROR($D$15-$E$42,"")</f>
        <v/>
      </c>
      <c r="H42" t="str">
        <f>IFERROR(SQRT($F$42^2+$G$42^2),"")</f>
        <v/>
      </c>
    </row>
    <row r="43" spans="2:8" x14ac:dyDescent="0.35">
      <c r="B43" t="s">
        <v>478</v>
      </c>
      <c r="C43" s="32"/>
      <c r="D43" t="str">
        <f>IFERROR(TraceAtLogRow($C$43,"x_mm"),"")</f>
        <v/>
      </c>
      <c r="E43" t="str">
        <f>IFERROR(TraceAtLogRow($C$43,"y_mm"),"")</f>
        <v/>
      </c>
      <c r="F43" t="str">
        <f>IFERROR($C$16-$D$43,"")</f>
        <v/>
      </c>
      <c r="G43" t="str">
        <f>IFERROR($D$16-$E$43,"")</f>
        <v/>
      </c>
      <c r="H43" t="str">
        <f>IFERROR(SQRT($F$43^2+$G$43^2),"")</f>
        <v/>
      </c>
    </row>
    <row r="44" spans="2:8" x14ac:dyDescent="0.35">
      <c r="B44" t="s">
        <v>479</v>
      </c>
      <c r="C44" s="32"/>
      <c r="D44" t="str">
        <f>IFERROR(TraceAtLogRow($C$44,"x_mm"),"")</f>
        <v/>
      </c>
      <c r="E44" t="str">
        <f>IFERROR(TraceAtLogRow($C$44,"y_mm"),"")</f>
        <v/>
      </c>
      <c r="F44" t="str">
        <f>IFERROR($C$17-$D$44,"")</f>
        <v/>
      </c>
      <c r="G44" t="str">
        <f>IFERROR($D$17-$E$44,"")</f>
        <v/>
      </c>
      <c r="H44" t="str">
        <f>IFERROR(SQRT($F$44^2+$G$44^2),"")</f>
        <v/>
      </c>
    </row>
    <row r="45" spans="2:8" x14ac:dyDescent="0.35">
      <c r="B45" t="s">
        <v>480</v>
      </c>
      <c r="C45" s="32"/>
      <c r="D45" t="str">
        <f>IFERROR(TraceAtLogRow($C$45,"x_mm"),"")</f>
        <v/>
      </c>
      <c r="E45" t="str">
        <f>IFERROR(TraceAtLogRow($C$45,"y_mm"),"")</f>
        <v/>
      </c>
      <c r="F45" t="str">
        <f>IFERROR($C$18-$D$45,"")</f>
        <v/>
      </c>
      <c r="G45" t="str">
        <f>IFERROR($D$18-$E$45,"")</f>
        <v/>
      </c>
      <c r="H45" t="str">
        <f>IFERROR(SQRT($F$45^2+$G$45^2),"")</f>
        <v/>
      </c>
    </row>
    <row r="46" spans="2:8" x14ac:dyDescent="0.35">
      <c r="B46" t="s">
        <v>481</v>
      </c>
      <c r="C46" s="31"/>
      <c r="D46" t="str">
        <f>IFERROR(TraceAtLogRow($C$46,"x_mm"),"")</f>
        <v/>
      </c>
      <c r="E46" t="str">
        <f>IFERROR(TraceAtLogRow($C$46,"y_mm"),"")</f>
        <v/>
      </c>
      <c r="F46" t="str">
        <f>IFERROR($C$19-$D$46,"")</f>
        <v/>
      </c>
      <c r="G46" t="str">
        <f>IFERROR($D$19-$E$46,"")</f>
        <v/>
      </c>
      <c r="H46" t="str">
        <f>IFERROR(SQRT($F$46^2+$G$46^2),"")</f>
        <v/>
      </c>
    </row>
    <row r="48" spans="2:8" x14ac:dyDescent="0.35">
      <c r="B48" s="24" t="s">
        <v>482</v>
      </c>
    </row>
    <row r="49" spans="2:3" x14ac:dyDescent="0.35">
      <c r="B49" t="s">
        <v>483</v>
      </c>
      <c r="C49">
        <f>IFERROR(MAX($H$39:$H$46),"")</f>
        <v>0</v>
      </c>
    </row>
    <row r="50" spans="2:3" x14ac:dyDescent="0.35">
      <c r="B50" t="s">
        <v>484</v>
      </c>
      <c r="C50" t="str">
        <f>IFERROR(SQRT(SUMSQ($H$39:$H$46)/COUNT($H$39:$H$46)),"")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85</vt:i4>
      </vt:variant>
    </vt:vector>
  </HeadingPairs>
  <TitlesOfParts>
    <vt:vector size="97" baseType="lpstr">
      <vt:lpstr>Control</vt:lpstr>
      <vt:lpstr>Settings</vt:lpstr>
      <vt:lpstr>Plan</vt:lpstr>
      <vt:lpstr>Monitor</vt:lpstr>
      <vt:lpstr>Sequence</vt:lpstr>
      <vt:lpstr>CartLog</vt:lpstr>
      <vt:lpstr>GimbalLog</vt:lpstr>
      <vt:lpstr>Log</vt:lpstr>
      <vt:lpstr>AstroTable</vt:lpstr>
      <vt:lpstr>Trace</vt:lpstr>
      <vt:lpstr>FallbackFormula</vt:lpstr>
      <vt:lpstr>Calibration</vt:lpstr>
      <vt:lpstr>btnCommitSmooth</vt:lpstr>
      <vt:lpstr>btnDiscardSmooth</vt:lpstr>
      <vt:lpstr>btnExportModules</vt:lpstr>
      <vt:lpstr>btnGenerateGCTable</vt:lpstr>
      <vt:lpstr>btnGetSunsetTime</vt:lpstr>
      <vt:lpstr>btnImportModules</vt:lpstr>
      <vt:lpstr>btnInitCalibration</vt:lpstr>
      <vt:lpstr>btnInitFallbackFormula</vt:lpstr>
      <vt:lpstr>btnInitShoot</vt:lpstr>
      <vt:lpstr>btnIntegrateBicycle</vt:lpstr>
      <vt:lpstr>btnMatchWaypoints</vt:lpstr>
      <vt:lpstr>btnPushAstro</vt:lpstr>
      <vt:lpstr>btnPushFormula</vt:lpstr>
      <vt:lpstr>btnPushTrack</vt:lpstr>
      <vt:lpstr>btnSmoothSelection</vt:lpstr>
      <vt:lpstr>btnStartSequence</vt:lpstr>
      <vt:lpstr>btnStopSequence</vt:lpstr>
      <vt:lpstr>btnSystemCheck</vt:lpstr>
      <vt:lpstr>dataActiveBranch</vt:lpstr>
      <vt:lpstr>dataArduinoIP</vt:lpstr>
      <vt:lpstr>dataAstroDusk</vt:lpstr>
      <vt:lpstr>dataCameraIP</vt:lpstr>
      <vt:lpstr>dataCartHeading</vt:lpstr>
      <vt:lpstr>dataCartOverdrive</vt:lpstr>
      <vt:lpstr>dataCartSpeed</vt:lpstr>
      <vt:lpstr>dataCartSteering</vt:lpstr>
      <vt:lpstr>dataCartVoltage</vt:lpstr>
      <vt:lpstr>dataCivilDawn</vt:lpstr>
      <vt:lpstr>dataCivilDusk</vt:lpstr>
      <vt:lpstr>dataCommCameraCheck</vt:lpstr>
      <vt:lpstr>dataCurrentAv</vt:lpstr>
      <vt:lpstr>dataCurrentISO</vt:lpstr>
      <vt:lpstr>dataCurrentMode</vt:lpstr>
      <vt:lpstr>dataCurrentTv</vt:lpstr>
      <vt:lpstr>dataEaseCinematic</vt:lpstr>
      <vt:lpstr>dataEaseComfortable</vt:lpstr>
      <vt:lpstr>dataEaseJustPerceptible</vt:lpstr>
      <vt:lpstr>dataGCRiseTime</vt:lpstr>
      <vt:lpstr>dataGCSetTime</vt:lpstr>
      <vt:lpstr>dataGCTransitTime</vt:lpstr>
      <vt:lpstr>dataGimbalPitch</vt:lpstr>
      <vt:lpstr>dataGimbalRoll</vt:lpstr>
      <vt:lpstr>dataGimbalTargetPitch</vt:lpstr>
      <vt:lpstr>dataGimbalTargetRoll</vt:lpstr>
      <vt:lpstr>dataGimbalTargetYaw</vt:lpstr>
      <vt:lpstr>dataGimbalYaw</vt:lpstr>
      <vt:lpstr>dataLatitude</vt:lpstr>
      <vt:lpstr>dataLongitude</vt:lpstr>
      <vt:lpstr>dataLuminance</vt:lpstr>
      <vt:lpstr>dataLumTargetSunrise</vt:lpstr>
      <vt:lpstr>dataLumTargetSunset</vt:lpstr>
      <vt:lpstr>dataMoonriseTime</vt:lpstr>
      <vt:lpstr>dataMoonsetTime</vt:lpstr>
      <vt:lpstr>dataNauticalDusk</vt:lpstr>
      <vt:lpstr>dataPhase1Start</vt:lpstr>
      <vt:lpstr>dataPhase2aStart</vt:lpstr>
      <vt:lpstr>dataPhase2bStart</vt:lpstr>
      <vt:lpstr>dataPhase3Start</vt:lpstr>
      <vt:lpstr>dataPhase4aStart</vt:lpstr>
      <vt:lpstr>dataPhase4bStart</vt:lpstr>
      <vt:lpstr>dataPhase5Start</vt:lpstr>
      <vt:lpstr>dataPlanPushDryRun</vt:lpstr>
      <vt:lpstr>dataReplayStart</vt:lpstr>
      <vt:lpstr>dataSequenceRunning</vt:lpstr>
      <vt:lpstr>dataShootStart</vt:lpstr>
      <vt:lpstr>dataShotCount</vt:lpstr>
      <vt:lpstr>dataSunriseTime</vt:lpstr>
      <vt:lpstr>dataSunsetTime</vt:lpstr>
      <vt:lpstr>dataUTCOffset</vt:lpstr>
      <vt:lpstr>gimbalYawEnvelopeMax</vt:lpstr>
      <vt:lpstr>gimbalYawEnvelopeMin</vt:lpstr>
      <vt:lpstr>monAv</vt:lpstr>
      <vt:lpstr>monCartSpeed</vt:lpstr>
      <vt:lpstr>monCartSteering</vt:lpstr>
      <vt:lpstr>monCartVoltage</vt:lpstr>
      <vt:lpstr>monGimbalPitch</vt:lpstr>
      <vt:lpstr>monGimbalYaw</vt:lpstr>
      <vt:lpstr>monInterval</vt:lpstr>
      <vt:lpstr>monISO</vt:lpstr>
      <vt:lpstr>monLuminance</vt:lpstr>
      <vt:lpstr>monPhase</vt:lpstr>
      <vt:lpstr>monSequence</vt:lpstr>
      <vt:lpstr>monShotCount</vt:lpstr>
      <vt:lpstr>monTime</vt:lpstr>
      <vt:lpstr>monTv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Maurice windley</cp:lastModifiedBy>
  <dcterms:created xsi:type="dcterms:W3CDTF">2026-05-09T11:10:48Z</dcterms:created>
  <dcterms:modified xsi:type="dcterms:W3CDTF">2026-05-27T12:31:06Z</dcterms:modified>
</cp:coreProperties>
</file>