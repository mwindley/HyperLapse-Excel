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i\OneDrive\Documents\Github\HyperLapse-Excel\"/>
    </mc:Choice>
  </mc:AlternateContent>
  <xr:revisionPtr revIDLastSave="0" documentId="13_ncr:1_{7A225E88-85B3-42AE-B59F-281258C997EF}" xr6:coauthVersionLast="47" xr6:coauthVersionMax="47" xr10:uidLastSave="{00000000-0000-0000-0000-000000000000}"/>
  <bookViews>
    <workbookView xWindow="480" yWindow="610" windowWidth="25740" windowHeight="19530" xr2:uid="{00000000-000D-0000-FFFF-FFFF00000000}"/>
  </bookViews>
  <sheets>
    <sheet name="Control" sheetId="8" r:id="rId1"/>
    <sheet name="Settings" sheetId="1" r:id="rId2"/>
    <sheet name="Monitor" sheetId="2" r:id="rId3"/>
    <sheet name="Sequence" sheetId="3" r:id="rId4"/>
    <sheet name="CartLog" sheetId="4" r:id="rId5"/>
    <sheet name="GimbalLog" sheetId="5" r:id="rId6"/>
    <sheet name="Log" sheetId="6" r:id="rId7"/>
    <sheet name="AstroTable" sheetId="7" r:id="rId8"/>
  </sheets>
  <functionGroups builtInGroupCount="19"/>
  <definedNames>
    <definedName name="btnExportModules">Control!$C$9</definedName>
    <definedName name="btnGenerateGCTable">Control!$C$8</definedName>
    <definedName name="btnGetSunsetTime">Control!$C$7</definedName>
    <definedName name="btnImportModules">Control!$C$10</definedName>
    <definedName name="btnInitShoot">Control!$C$4</definedName>
    <definedName name="btnStartSequence">Control!$C$5</definedName>
    <definedName name="btnStopSequence">Control!$C$6</definedName>
    <definedName name="btnSystemCheck">Control!$C$3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ReplayStart">Settings!$C$14</definedName>
    <definedName name="dataSequenceRunning">Settings!$C$24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0" i="1"/>
  <c r="G8" i="1"/>
  <c r="F9" i="1" l="1"/>
</calcChain>
</file>

<file path=xl/sharedStrings.xml><?xml version="1.0" encoding="utf-8"?>
<sst xmlns="http://schemas.openxmlformats.org/spreadsheetml/2006/main" count="623" uniqueCount="294">
  <si>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</si>
  <si>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</si>
  <si>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</si>
  <si>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</si>
  <si>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</si>
  <si>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</si>
  <si>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</si>
  <si>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</si>
  <si>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</si>
  <si>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</si>
  <si>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</si>
  <si>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</si>
  <si>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</si>
  <si>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</si>
  <si>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</si>
  <si>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</si>
  <si>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</si>
  <si>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</si>
  <si>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</si>
  <si>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</si>
  <si>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</si>
  <si>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</si>
  <si>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</si>
  <si>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</si>
  <si>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</si>
  <si>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</si>
  <si>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</si>
  <si>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</si>
  <si>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</si>
  <si>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</si>
  <si>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</si>
  <si>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</si>
  <si>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</si>
  <si>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</si>
  <si>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</si>
  <si>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</si>
  <si>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</si>
  <si>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</si>
  <si>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</si>
  <si>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</si>
  <si>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</si>
  <si>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</si>
  <si>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</si>
  <si>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</si>
  <si>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</si>
  <si>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</si>
  <si>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</si>
  <si>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</si>
  <si>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</si>
  <si>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</si>
  <si>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</si>
  <si>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</si>
  <si>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</si>
  <si>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</si>
  <si>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</si>
  <si>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</si>
  <si>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</si>
  <si>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</si>
  <si>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</si>
  <si>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</si>
  <si>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</si>
  <si>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</si>
  <si>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</si>
  <si>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</si>
  <si>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</si>
  <si>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</si>
  <si>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</si>
  <si>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</si>
  <si>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</si>
  <si>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</si>
  <si>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</si>
  <si>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</si>
  <si>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</si>
  <si>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</si>
  <si>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</si>
  <si>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</si>
  <si>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</si>
  <si>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</si>
  <si>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Scout spd</t>
  </si>
  <si>
    <t>Replay spd</t>
  </si>
  <si>
    <t>Replay time (s)</t>
  </si>
  <si>
    <t>Start</t>
  </si>
  <si>
    <t>End</t>
  </si>
  <si>
    <t>← Enter replay speeds here</t>
  </si>
  <si>
    <t>Category</t>
  </si>
  <si>
    <t>Message</t>
  </si>
  <si>
    <t>Time</t>
  </si>
  <si>
    <t>GC above horizon</t>
  </si>
  <si>
    <t>http://192.168.1.99:8080</t>
  </si>
  <si>
    <t>http://192.168.1.97</t>
  </si>
  <si>
    <t>SEQ</t>
  </si>
  <si>
    <t>GC Az (Â°)</t>
  </si>
  <si>
    <t>GC Alt (Â°)</t>
  </si>
  <si>
    <t>Sun Az (Â°)</t>
  </si>
  <si>
    <t>Sun Alt (Â°)</t>
  </si>
  <si>
    <t>no</t>
  </si>
  <si>
    <t>YES</t>
  </si>
  <si>
    <t>ASTRO</t>
  </si>
  <si>
    <t>CAMERA</t>
  </si>
  <si>
    <t>ISO set to 100</t>
  </si>
  <si>
    <t>Tv set to 1/5000</t>
  </si>
  <si>
    <t>Ph5 shot 32</t>
  </si>
  <si>
    <t>Ph5 shot 33</t>
  </si>
  <si>
    <t>Ph5 shot 34</t>
  </si>
  <si>
    <t>Ph5 shot 35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</si>
  <si>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</si>
  <si>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</si>
  <si>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</si>
  <si>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</si>
  <si>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</si>
  <si>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</si>
  <si>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</si>
  <si>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</si>
  <si>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</si>
  <si>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</si>
  <si>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</si>
  <si>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Tv set to 1/800</t>
  </si>
  <si>
    <t>Tv set to 1/100</t>
  </si>
  <si>
    <t>Tv set to 1/30</t>
  </si>
  <si>
    <t>LUMINANCE</t>
  </si>
  <si>
    <t>1/5000</t>
  </si>
  <si>
    <t>Phase 5 â€” Daytime</t>
  </si>
  <si>
    <t>Ph1 shot 1</t>
  </si>
  <si>
    <t>Ph1 shot 2</t>
  </si>
  <si>
    <t>Ph1 shot 3</t>
  </si>
  <si>
    <t>Ph1 shot 4</t>
  </si>
  <si>
    <t>Ph1 shot 5</t>
  </si>
  <si>
    <t>Ph1 shot 6</t>
  </si>
  <si>
    <t>Ph1 shot 7</t>
  </si>
  <si>
    <t>Ph1 shot 8</t>
  </si>
  <si>
    <t>Ph1 shot 9</t>
  </si>
  <si>
    <t>Ph1 shot 10</t>
  </si>
  <si>
    <t>Ph1 shot 11</t>
  </si>
  <si>
    <t>Ph1 shot 12</t>
  </si>
  <si>
    <t>GIMBAL</t>
  </si>
  <si>
    <t>Tv set to 4"</t>
  </si>
  <si>
    <t>Tv set to 1/80</t>
  </si>
  <si>
    <t>Tv set to 1/13</t>
  </si>
  <si>
    <t>Tv set to 0"8</t>
  </si>
  <si>
    <t>shot=1 Av=f1.8 Tv=1/5000 ISO=100 int=-</t>
  </si>
  <si>
    <t>shot=3 Av=f1.8 Tv=1/5000 ISO=100 int=2.0s</t>
  </si>
  <si>
    <t>shot=4 Av=f1.8 Tv=1/5000 ISO=100 int=2.0s</t>
  </si>
  <si>
    <t>shot=7 Av=f1.8 Tv=1/5000 ISO=100 int=2.0s</t>
  </si>
  <si>
    <t>shot=11 Av=f1.8 Tv=1/5000 ISO=100 int=2.0s</t>
  </si>
  <si>
    <t>shot=13 Av=f1.8 Tv=1/5000 ISO=100 int=2.0s</t>
  </si>
  <si>
    <t>Ph1 shot 13</t>
  </si>
  <si>
    <t>Ph1 shot 14</t>
  </si>
  <si>
    <t>shot=2 Av=f1.8 Tv=1/5000 ISO=100 int=2.0s</t>
  </si>
  <si>
    <t>shot=6 Av=f1.8 Tv=1/5000 ISO=100 int=2.0s</t>
  </si>
  <si>
    <t>Tv set to 15"</t>
  </si>
  <si>
    <t>Tv set to 20"</t>
  </si>
  <si>
    <t>TIMING</t>
  </si>
  <si>
    <t>Tv set to 1/2500</t>
  </si>
  <si>
    <t>Tv set to 1/250</t>
  </si>
  <si>
    <t>ISO set to 1600</t>
  </si>
  <si>
    <t>Sun at 06:57:28: az=69.2° alt=-1.1° â†’ yaw=159.2° pitch=-1.1°</t>
  </si>
  <si>
    <t>Move to Yaw=159.228236429636 Pitch=-1.06674190693138 Roll=0 Time=30s</t>
  </si>
  <si>
    <t>Gimbal moved to sunrise: yaw=159.1 pitch=-1.1</t>
  </si>
  <si>
    <t>shot=35 Av=f1.8 Tv=1/5000 ISO=100 int=2.0s</t>
  </si>
  <si>
    <t>shot=5 Av=f1.8 Tv=1/5000 ISO=100 int=3.0s</t>
  </si>
  <si>
    <t>shot=12 Av=f1.8 Tv=1/5000 ISO=100 int=3.0s</t>
  </si>
  <si>
    <t>Ph2a Tv=1/250 interval=2.0s shot=17</t>
  </si>
  <si>
    <t>Tv set to 1/4</t>
  </si>
  <si>
    <t>shot=8 Av=f1.8 Tv=1/5000 ISO=100 int=6.0s</t>
  </si>
  <si>
    <t>Tv set to 1"3</t>
  </si>
  <si>
    <t>Ph2a Tv=1"3 interval=3.3s shot=22</t>
  </si>
  <si>
    <t>shot=25 Av=f1.8 Tv=20" ISO=100 int=26.0s</t>
  </si>
  <si>
    <t>shot=32 Av=f1.8 Tv=1/5000 ISO=100 int=21.0s</t>
  </si>
  <si>
    <t>2026-05-10 20:46:20</t>
  </si>
  <si>
    <t>2026-05-10 20:46:21</t>
  </si>
  <si>
    <t>2026-05-10 20:46:23</t>
  </si>
  <si>
    <t>2026-05-10 20:46:25</t>
  </si>
  <si>
    <t>2026-05-10 20:46:27</t>
  </si>
  <si>
    <t>2026-05-10 20:46:30</t>
  </si>
  <si>
    <t>2026-05-10 20:46:32</t>
  </si>
  <si>
    <t>2026-05-10 20:46:34</t>
  </si>
  <si>
    <t>2026-05-10 20:46:35</t>
  </si>
  <si>
    <t>2026-05-10 20:46:40</t>
  </si>
  <si>
    <t>2026-05-10 20:46:45</t>
  </si>
  <si>
    <t>shot=9 Av=f1.8 Tv=1/5000 ISO=100 int=5.0s</t>
  </si>
  <si>
    <t>2026-05-10 20:46:49</t>
  </si>
  <si>
    <t>shot=10 Av=f1.8 Tv=1/5000 ISO=100 int=4.0s</t>
  </si>
  <si>
    <t>2026-05-10 20:46:51</t>
  </si>
  <si>
    <t>status=195ms monitor=8ms heartbeat=195ms phase=148ms</t>
  </si>
  <si>
    <t>2026-05-10 20:46:54</t>
  </si>
  <si>
    <t>2026-05-10 20:46:56</t>
  </si>
  <si>
    <t>status=188ms monitor=8ms heartbeat=203ms phase=156ms</t>
  </si>
  <si>
    <t>2026-05-10 20:46:59</t>
  </si>
  <si>
    <t>shot=14 Av=f1.8 Tv=1/5000 ISO=100 int=3.0s</t>
  </si>
  <si>
    <t>2026-05-10 20:47:05</t>
  </si>
  <si>
    <t>Sun at 20:47:05: az=262.9° alt=-41.5° â†’ yaw=-7.1° pitch=-41.5°</t>
  </si>
  <si>
    <t>Move to Yaw=-7.09075910650233 Pitch=-41.5338482441291 Roll=0 Time=10s</t>
  </si>
  <si>
    <t>Gimbal moved to sunset: yaw=-7.1 pitch=-42.1</t>
  </si>
  <si>
    <t>2026-05-10 20:47:06</t>
  </si>
  <si>
    <t>shot=15 Av=f1.8 Tv=1/2500 ISO=100 int=7.0s</t>
  </si>
  <si>
    <t>Ph2a Tv=1/2500 interval=2.0s shot=15</t>
  </si>
  <si>
    <t>status=172ms monitor=8ms heartbeat=203ms phase=570ms</t>
  </si>
  <si>
    <t>2026-05-10 20:47:11</t>
  </si>
  <si>
    <t>2026-05-10 20:47:12</t>
  </si>
  <si>
    <t>shot=16 Av=f1.8 Tv=1/800 ISO=100 int=6.0s</t>
  </si>
  <si>
    <t>Ph2a Tv=1/800 interval=2.0s shot=16</t>
  </si>
  <si>
    <t>status=148ms monitor=0ms heartbeat=195ms phase=461ms</t>
  </si>
  <si>
    <t>2026-05-10 20:47:17</t>
  </si>
  <si>
    <t>shot=17 Av=f1.8 Tv=1/250 ISO=100 int=5.0s</t>
  </si>
  <si>
    <t>status=156ms monitor=16ms heartbeat=94ms phase=344ms</t>
  </si>
  <si>
    <t>2026-05-10 20:47:23</t>
  </si>
  <si>
    <t>shot=18 Av=f1.8 Tv=1/80 ISO=100 int=6.0s</t>
  </si>
  <si>
    <t>Ph2a Tv=1/80 interval=2.0s shot=18</t>
  </si>
  <si>
    <t>status=125ms monitor=0ms heartbeat=117ms phase=500ms</t>
  </si>
  <si>
    <t>2026-05-10 20:47:28</t>
  </si>
  <si>
    <t>2026-05-10 20:47:29</t>
  </si>
  <si>
    <t>shot=19 Av=f1.8 Tv=1/30 ISO=100 int=6.0s</t>
  </si>
  <si>
    <t>Ph2a Tv=1/30 interval=2.0s shot=19</t>
  </si>
  <si>
    <t>status=148ms monitor=0ms heartbeat=117ms phase=344ms</t>
  </si>
  <si>
    <t>2026-05-10 20:47:34</t>
  </si>
  <si>
    <t>2026-05-10 20:47:35</t>
  </si>
  <si>
    <t>shot=20 Av=f1.8 Tv=1/13 ISO=100 int=6.0s</t>
  </si>
  <si>
    <t>Ph2a Tv=1/13 interval=2.0s shot=20</t>
  </si>
  <si>
    <t>status=219ms monitor=16ms heartbeat=180ms phase=367ms</t>
  </si>
  <si>
    <t>2026-05-10 20:47:40</t>
  </si>
  <si>
    <t>shot=21 Av=f1.8 Tv=1/4 ISO=100 int=5.0s</t>
  </si>
  <si>
    <t>Ph2a Tv=1/4 interval=2.0s shot=21</t>
  </si>
  <si>
    <t>status=148ms monitor=16ms heartbeat=102ms phase=570ms</t>
  </si>
  <si>
    <t>2026-05-10 20:47:46</t>
  </si>
  <si>
    <t>shot=22 Av=f1.8 Tv=1"3 ISO=100 int=6.0s</t>
  </si>
  <si>
    <t>status=242ms monitor=16ms heartbeat=94ms phase=445ms</t>
  </si>
  <si>
    <t>2026-05-10 20:47:51</t>
  </si>
  <si>
    <t>Tv set to 3"2</t>
  </si>
  <si>
    <t>status=289ms monitor=8ms heartbeat=219ms phase=602ms</t>
  </si>
  <si>
    <t>2026-05-10 20:47:52</t>
  </si>
  <si>
    <t>2026-05-10 20:47:53</t>
  </si>
  <si>
    <t>shot=23 Av=f1.8 Tv=4" ISO=100 int=7.0s</t>
  </si>
  <si>
    <t>Ph2a Tv=4" interval=6.0s shot=23</t>
  </si>
  <si>
    <t>status=344ms monitor=8ms heartbeat=391ms phase=672ms</t>
  </si>
  <si>
    <t>2026-05-10 20:48:00</t>
  </si>
  <si>
    <t>status=281ms monitor=16ms heartbeat=109ms phase=242ms</t>
  </si>
  <si>
    <t>2026-05-10 20:48:12</t>
  </si>
  <si>
    <t>status=141ms monitor=0ms heartbeat=94ms phase=305ms</t>
  </si>
  <si>
    <t>2026-05-10 20:48:18</t>
  </si>
  <si>
    <t>lum=249 ISO=100 Tv=20"</t>
  </si>
  <si>
    <t>2026-05-10 20:48:19</t>
  </si>
  <si>
    <t>shot=24 Av=f1.8 Tv=20" ISO=100 int=26.0s</t>
  </si>
  <si>
    <t>Ph2b ISO=100 Lum=249 shot=24</t>
  </si>
  <si>
    <t>status=141ms monitor=8ms heartbeat=109ms phase=906ms</t>
  </si>
  <si>
    <t>2026-05-10 20:48:45</t>
  </si>
  <si>
    <t>lum=254 ISO=100 Tv=20"</t>
  </si>
  <si>
    <t>Ph2b ISO=100 Lum=254 shot=25</t>
  </si>
  <si>
    <t>status=227ms monitor=8ms heartbeat=117ms phase=836ms</t>
  </si>
  <si>
    <t>2026-05-10 20:49:15</t>
  </si>
  <si>
    <t>GC at 20:49:15: az=114.3° alt=16.3° â†’ yaw=-155.7° pitch=16.3°</t>
  </si>
  <si>
    <t>Move to Yaw=-155.681554109887 Pitch=16.3220628086721 Roll=0 Time=30s</t>
  </si>
  <si>
    <t>Gimbal moved to Milky Way: yaw=-156.1 pitch=16.1</t>
  </si>
  <si>
    <t>2026-05-10 20:49:16</t>
  </si>
  <si>
    <t>GC at 20:49:16: az=114.3° alt=16.3° â†’ yaw=-155.7° pitch=16.3°</t>
  </si>
  <si>
    <t>Move to Yaw=-155.6835332373 Pitch=16.3251844687917 Roll=0 Time=20s</t>
  </si>
  <si>
    <t>shot=26 Av=f1.8 Tv=20" ISO=1600 int=31.0s</t>
  </si>
  <si>
    <t>Ph3 GC yaw=-156.1 pitch=16.1 shot=26</t>
  </si>
  <si>
    <t>status=172ms monitor=8ms heartbeat=117ms phase=836ms</t>
  </si>
  <si>
    <t>2026-05-10 20:49:56</t>
  </si>
  <si>
    <t>GC at 20:49:56: az=114.2° alt=16.5° â†’ yaw=-155.8° pitch=16.5°</t>
  </si>
  <si>
    <t>Move to Yaw=-155.762653114206 Pitch=16.4500863790965 Roll=0 Time=20s</t>
  </si>
  <si>
    <t>shot=27 Av=f1.8 Tv=20" ISO=1600 int=40.0s</t>
  </si>
  <si>
    <t>Ph3 GC yaw=-156.1 pitch=16.1 shot=27</t>
  </si>
  <si>
    <t>status=164ms monitor=0ms heartbeat=109ms phase=250ms</t>
  </si>
  <si>
    <t>2026-05-10 20:50:37</t>
  </si>
  <si>
    <t>2026-05-10 20:50:38</t>
  </si>
  <si>
    <t>lum=255 ISO=1600 Tv=20"</t>
  </si>
  <si>
    <t>ISO set to 1250</t>
  </si>
  <si>
    <t>Lum:255 ISO dn-&gt;1250 20:50:38</t>
  </si>
  <si>
    <t>shot=28 Av=f1.8 Tv=20" ISO=1250 int=42.0s</t>
  </si>
  <si>
    <t>Ph4a ISO=1250 Lum=255 shot=28</t>
  </si>
  <si>
    <t>status=188ms monitor=0ms heartbeat=109ms phase=1578ms</t>
  </si>
  <si>
    <t>2026-05-10 20:51:19</t>
  </si>
  <si>
    <t>shot=29 Av=f1.8 Tv=0"8 ISO=100 int=41.0s</t>
  </si>
  <si>
    <t>Ph4b Tv=0"8 interval=2.8s shot=29</t>
  </si>
  <si>
    <t>status=188ms monitor=0ms heartbeat=109ms phase=758ms</t>
  </si>
  <si>
    <t>2026-05-10 20:51:40</t>
  </si>
  <si>
    <t>shot=30 Av=f1.8 Tv=1/100 ISO=100 int=21.0s</t>
  </si>
  <si>
    <t>Ph4b Tv=1/100 interval=2.0s shot=30</t>
  </si>
  <si>
    <t>status=227ms monitor=8ms heartbeat=102ms phase=430ms</t>
  </si>
  <si>
    <t>2026-05-10 20:52:01</t>
  </si>
  <si>
    <t>shot=31 Av=f1.8 Tv=1/5000 ISO=100 int=21.0s</t>
  </si>
  <si>
    <t>Ph4b Tv=1/5000 interval=2.0s shot=31</t>
  </si>
  <si>
    <t>status=117ms monitor=16ms heartbeat=195ms phase=453ms</t>
  </si>
  <si>
    <t>2026-05-10 20:52:21</t>
  </si>
  <si>
    <t>2026-05-10 20:52:22</t>
  </si>
  <si>
    <t>status=172ms monitor=0ms heartbeat=227ms phase=117ms</t>
  </si>
  <si>
    <t>2026-05-10 20:52:42</t>
  </si>
  <si>
    <t>shot=33 Av=f1.8 Tv=1/5000 ISO=100 int=20.0s</t>
  </si>
  <si>
    <t>2026-05-10 20:52:49</t>
  </si>
  <si>
    <t>shot=34 Av=f1.8 Tv=1/5000 ISO=100 int=7.0s</t>
  </si>
  <si>
    <t>status=188ms monitor=0ms heartbeat=109ms phase=219ms</t>
  </si>
  <si>
    <t>2026-05-10 20:52:51</t>
  </si>
  <si>
    <t>status=258ms monitor=23ms heartbeat=258ms phase=172ms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</si>
</sst>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"/>
    <numFmt numFmtId="165" formatCode="hh:mm"/>
  </numFmts>
  <fonts count="15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0"/>
      <color rgb="FFE65100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i/>
      <sz val="9"/>
      <color rgb="FFE651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F0F0F5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</fills>
  <borders count="1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5" fillId="6" borderId="1" xfId="0" applyNumberFormat="1" applyFont="1" applyFill="1" applyBorder="1"/>
    <xf numFmtId="164" fontId="3" fillId="4" borderId="1" xfId="0" applyNumberFormat="1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8" fillId="0" borderId="0" xfId="0" applyFont="1"/>
    <xf numFmtId="0" fontId="2" fillId="2" borderId="1" xfId="0" applyFont="1" applyFill="1" applyBorder="1" applyAlignment="1">
      <alignment horizontal="center" vertical="center" wrapText="1"/>
    </xf>
    <xf numFmtId="164" fontId="9" fillId="12" borderId="1" xfId="0" applyNumberFormat="1" applyFont="1" applyFill="1" applyBorder="1"/>
    <xf numFmtId="0" fontId="10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7" fillId="8" borderId="1" xfId="0" applyNumberFormat="1" applyFont="1" applyFill="1" applyBorder="1" applyAlignment="1">
      <alignment horizontal="center" vertical="center" wrapText="1"/>
    </xf>
    <xf numFmtId="49" fontId="7" fillId="8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11" fillId="4" borderId="1" xfId="0" quotePrefix="1" applyNumberFormat="1" applyFont="1" applyFill="1" applyBorder="1" applyAlignment="1">
      <alignment horizontal="left" vertical="center"/>
    </xf>
    <xf numFmtId="0" fontId="12" fillId="0" borderId="0" xfId="0" applyFont="1"/>
    <xf numFmtId="0" fontId="13" fillId="13" borderId="9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3" fillId="13" borderId="11" xfId="0" applyFont="1" applyFill="1" applyBorder="1" applyAlignment="1">
      <alignment horizontal="center" vertical="center"/>
    </xf>
    <xf numFmtId="0" fontId="13" fillId="13" borderId="1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2" fillId="7" borderId="0" xfId="0" applyFont="1" applyFill="1" applyAlignment="1">
      <alignment horizontal="center" vertical="center" wrapText="1"/>
    </xf>
    <xf numFmtId="0" fontId="2" fillId="11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9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2"/>
  <sheetViews>
    <sheetView tabSelected="1" workbookViewId="0">
      <selection activeCell="G9" sqref="G9"/>
    </sheetView>
  </sheetViews>
  <sheetFormatPr defaultRowHeight="14.5" x14ac:dyDescent="0.35"/>
  <cols>
    <col min="3" max="3" width="28.6328125" customWidth="1"/>
  </cols>
  <sheetData>
    <row r="1" spans="3:3" ht="18.5" x14ac:dyDescent="0.45">
      <c r="C1" s="18" t="s">
        <v>106</v>
      </c>
    </row>
    <row r="3" spans="3:3" ht="24" customHeight="1" x14ac:dyDescent="0.35">
      <c r="C3" s="20" t="s">
        <v>107</v>
      </c>
    </row>
    <row r="4" spans="3:3" ht="24" customHeight="1" x14ac:dyDescent="0.35">
      <c r="C4" s="20" t="s">
        <v>108</v>
      </c>
    </row>
    <row r="5" spans="3:3" ht="24" customHeight="1" x14ac:dyDescent="0.35">
      <c r="C5" s="20" t="s">
        <v>109</v>
      </c>
    </row>
    <row r="6" spans="3:3" ht="24" customHeight="1" x14ac:dyDescent="0.35">
      <c r="C6" s="19" t="s">
        <v>110</v>
      </c>
    </row>
    <row r="7" spans="3:3" ht="24" customHeight="1" x14ac:dyDescent="0.35">
      <c r="C7" s="23" t="s">
        <v>111</v>
      </c>
    </row>
    <row r="8" spans="3:3" ht="24" customHeight="1" x14ac:dyDescent="0.35">
      <c r="C8" s="20" t="s">
        <v>112</v>
      </c>
    </row>
    <row r="9" spans="3:3" ht="24" customHeight="1" x14ac:dyDescent="0.35">
      <c r="C9" s="19" t="s">
        <v>113</v>
      </c>
    </row>
    <row r="10" spans="3:3" ht="24" customHeight="1" x14ac:dyDescent="0.35">
      <c r="C10" s="22" t="s">
        <v>114</v>
      </c>
    </row>
    <row r="12" spans="3:3" x14ac:dyDescent="0.35">
      <c r="C12" s="21" t="s">
        <v>115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H38"/>
  <sheetViews>
    <sheetView showGridLines="0" workbookViewId="0">
      <selection activeCell="G27" sqref="G27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8" ht="32" customHeight="1" x14ac:dyDescent="0.35">
      <c r="A1" s="24" t="s">
        <v>0</v>
      </c>
      <c r="B1" s="25"/>
      <c r="C1" s="25"/>
      <c r="D1" s="25"/>
      <c r="E1" s="25"/>
      <c r="F1" s="25"/>
    </row>
    <row r="3" spans="1:8" x14ac:dyDescent="0.35">
      <c r="B3" s="28" t="s">
        <v>1</v>
      </c>
      <c r="C3" s="25"/>
    </row>
    <row r="4" spans="1:8" x14ac:dyDescent="0.35">
      <c r="B4" s="1" t="s">
        <v>2</v>
      </c>
      <c r="C4" s="11" t="s">
        <v>88</v>
      </c>
    </row>
    <row r="5" spans="1:8" x14ac:dyDescent="0.35">
      <c r="B5" s="1" t="s">
        <v>3</v>
      </c>
      <c r="C5" s="11" t="s">
        <v>89</v>
      </c>
    </row>
    <row r="6" spans="1:8" x14ac:dyDescent="0.35">
      <c r="E6" s="29" t="s">
        <v>4</v>
      </c>
      <c r="F6" s="25"/>
    </row>
    <row r="7" spans="1:8" x14ac:dyDescent="0.35">
      <c r="B7" s="28" t="s">
        <v>5</v>
      </c>
      <c r="C7" s="25"/>
      <c r="E7" s="1" t="s">
        <v>6</v>
      </c>
      <c r="F7" s="3">
        <v>46152.666666666664</v>
      </c>
    </row>
    <row r="8" spans="1:8" x14ac:dyDescent="0.35">
      <c r="B8" s="1" t="s">
        <v>7</v>
      </c>
      <c r="C8" s="2">
        <v>-34.9285</v>
      </c>
      <c r="E8" s="1" t="s">
        <v>8</v>
      </c>
      <c r="F8" s="12">
        <v>46152.865561574072</v>
      </c>
      <c r="G8" s="12">
        <f ca="1">NOW()+TIME(0,0,30)</f>
        <v>46152.870392824072</v>
      </c>
    </row>
    <row r="9" spans="1:8" x14ac:dyDescent="0.35">
      <c r="B9" s="1" t="s">
        <v>9</v>
      </c>
      <c r="C9" s="2">
        <v>138.60069999999999</v>
      </c>
      <c r="E9" s="1" t="s">
        <v>10</v>
      </c>
      <c r="F9" s="3">
        <f>dataSunriseTime</f>
        <v>46152.289907407408</v>
      </c>
    </row>
    <row r="10" spans="1:8" x14ac:dyDescent="0.35">
      <c r="B10" s="1" t="s">
        <v>11</v>
      </c>
      <c r="C10" s="2">
        <v>9.5</v>
      </c>
      <c r="E10" s="1" t="s">
        <v>12</v>
      </c>
      <c r="F10" s="3">
        <v>46152.865983796299</v>
      </c>
      <c r="G10" s="12">
        <f ca="1">NOW()+TIME(0,H10,0)</f>
        <v>46152.870740046295</v>
      </c>
      <c r="H10">
        <v>1</v>
      </c>
    </row>
    <row r="11" spans="1:8" x14ac:dyDescent="0.35">
      <c r="B11" s="1" t="s">
        <v>13</v>
      </c>
      <c r="C11" s="2">
        <v>270</v>
      </c>
      <c r="E11" s="1" t="s">
        <v>14</v>
      </c>
      <c r="F11" s="3">
        <v>46152.866678240738</v>
      </c>
      <c r="G11" s="12">
        <f t="shared" ref="G11:G15" ca="1" si="0">NOW()+TIME(0,H11,0)</f>
        <v>46152.871434490735</v>
      </c>
      <c r="H11">
        <v>2</v>
      </c>
    </row>
    <row r="12" spans="1:8" x14ac:dyDescent="0.35">
      <c r="E12" s="1" t="s">
        <v>15</v>
      </c>
      <c r="F12" s="3">
        <v>46152.867372685185</v>
      </c>
      <c r="G12" s="12">
        <f t="shared" ca="1" si="0"/>
        <v>46152.872128935182</v>
      </c>
      <c r="H12">
        <v>3</v>
      </c>
    </row>
    <row r="13" spans="1:8" x14ac:dyDescent="0.35">
      <c r="B13" s="28" t="s">
        <v>16</v>
      </c>
      <c r="C13" s="25"/>
      <c r="E13" s="1" t="s">
        <v>17</v>
      </c>
      <c r="F13" s="3">
        <v>46152.868067129632</v>
      </c>
      <c r="G13" s="12">
        <f t="shared" ca="1" si="0"/>
        <v>46152.872823379628</v>
      </c>
      <c r="H13">
        <v>4</v>
      </c>
    </row>
    <row r="14" spans="1:8" x14ac:dyDescent="0.35">
      <c r="B14" s="1" t="s">
        <v>18</v>
      </c>
      <c r="C14" s="4" t="s">
        <v>19</v>
      </c>
      <c r="E14" s="1" t="s">
        <v>20</v>
      </c>
      <c r="F14" s="3">
        <v>46152.868761574071</v>
      </c>
      <c r="G14" s="12">
        <f t="shared" ca="1" si="0"/>
        <v>46152.873517824068</v>
      </c>
      <c r="H14">
        <v>5</v>
      </c>
    </row>
    <row r="15" spans="1:8" x14ac:dyDescent="0.35">
      <c r="E15" s="1" t="s">
        <v>21</v>
      </c>
      <c r="F15" s="3">
        <v>46152.869456018518</v>
      </c>
      <c r="G15" s="12">
        <f t="shared" ca="1" si="0"/>
        <v>46152.874212268514</v>
      </c>
      <c r="H15">
        <v>6</v>
      </c>
    </row>
    <row r="16" spans="1:8" x14ac:dyDescent="0.35">
      <c r="B16" s="26" t="s">
        <v>22</v>
      </c>
      <c r="C16" s="25"/>
    </row>
    <row r="17" spans="2:6" x14ac:dyDescent="0.35">
      <c r="B17" s="1" t="s">
        <v>23</v>
      </c>
      <c r="C17" s="2" t="s">
        <v>24</v>
      </c>
      <c r="E17" s="27" t="s">
        <v>25</v>
      </c>
      <c r="F17" s="25"/>
    </row>
    <row r="18" spans="2:6" x14ac:dyDescent="0.35">
      <c r="B18" s="1" t="s">
        <v>26</v>
      </c>
      <c r="C18" s="16" t="s">
        <v>27</v>
      </c>
      <c r="E18" s="1" t="s">
        <v>28</v>
      </c>
      <c r="F18" s="10">
        <v>46152.289907407408</v>
      </c>
    </row>
    <row r="19" spans="2:6" x14ac:dyDescent="0.35">
      <c r="B19" s="1" t="s">
        <v>29</v>
      </c>
      <c r="C19" s="17" t="s">
        <v>120</v>
      </c>
      <c r="E19" s="1" t="s">
        <v>30</v>
      </c>
      <c r="F19" s="10">
        <v>46152.272337962961</v>
      </c>
    </row>
    <row r="20" spans="2:6" x14ac:dyDescent="0.35">
      <c r="B20" s="1" t="s">
        <v>31</v>
      </c>
      <c r="C20" s="2">
        <v>100</v>
      </c>
      <c r="E20" s="1" t="s">
        <v>32</v>
      </c>
      <c r="F20" s="10">
        <v>46152.744363425925</v>
      </c>
    </row>
    <row r="21" spans="2:6" x14ac:dyDescent="0.35">
      <c r="B21" s="1" t="s">
        <v>33</v>
      </c>
      <c r="C21" s="2">
        <v>255</v>
      </c>
      <c r="E21" s="1" t="s">
        <v>34</v>
      </c>
      <c r="F21" s="10">
        <v>46152.765439814815</v>
      </c>
    </row>
    <row r="22" spans="2:6" x14ac:dyDescent="0.35">
      <c r="B22" s="1" t="s">
        <v>35</v>
      </c>
      <c r="C22" s="2">
        <v>35</v>
      </c>
      <c r="E22" s="1" t="s">
        <v>36</v>
      </c>
      <c r="F22" s="10">
        <v>46152.786168981482</v>
      </c>
    </row>
    <row r="23" spans="2:6" x14ac:dyDescent="0.35">
      <c r="B23" s="1" t="s">
        <v>37</v>
      </c>
      <c r="C23" s="2" t="s">
        <v>268</v>
      </c>
    </row>
    <row r="24" spans="2:6" x14ac:dyDescent="0.35">
      <c r="B24" s="1" t="s">
        <v>39</v>
      </c>
      <c r="C24" s="2" t="s">
        <v>40</v>
      </c>
    </row>
    <row r="26" spans="2:6" x14ac:dyDescent="0.35">
      <c r="B26" s="26" t="s">
        <v>41</v>
      </c>
      <c r="C26" s="25"/>
    </row>
    <row r="27" spans="2:6" x14ac:dyDescent="0.35">
      <c r="B27" s="1" t="s">
        <v>42</v>
      </c>
      <c r="C27" s="2">
        <v>-158.4</v>
      </c>
    </row>
    <row r="28" spans="2:6" x14ac:dyDescent="0.35">
      <c r="B28" s="1" t="s">
        <v>43</v>
      </c>
      <c r="C28" s="2">
        <v>0</v>
      </c>
    </row>
    <row r="29" spans="2:6" x14ac:dyDescent="0.35">
      <c r="B29" s="1" t="s">
        <v>44</v>
      </c>
      <c r="C29" s="2">
        <v>15.4</v>
      </c>
    </row>
    <row r="30" spans="2:6" x14ac:dyDescent="0.35">
      <c r="B30" s="1" t="s">
        <v>45</v>
      </c>
      <c r="C30" s="2">
        <v>159.22823642963647</v>
      </c>
    </row>
    <row r="31" spans="2:6" x14ac:dyDescent="0.35">
      <c r="B31" s="1" t="s">
        <v>46</v>
      </c>
      <c r="C31" s="2">
        <v>-1.0667419069313764</v>
      </c>
    </row>
    <row r="32" spans="2:6" x14ac:dyDescent="0.35">
      <c r="B32" s="1" t="s">
        <v>47</v>
      </c>
      <c r="C32" s="2">
        <v>0</v>
      </c>
    </row>
    <row r="34" spans="2:3" x14ac:dyDescent="0.35">
      <c r="B34" s="26" t="s">
        <v>48</v>
      </c>
      <c r="C34" s="25"/>
    </row>
    <row r="35" spans="2:3" x14ac:dyDescent="0.35">
      <c r="B35" s="1" t="s">
        <v>49</v>
      </c>
      <c r="C35" s="2">
        <v>0</v>
      </c>
    </row>
    <row r="36" spans="2:3" x14ac:dyDescent="0.35">
      <c r="B36" s="1" t="s">
        <v>50</v>
      </c>
      <c r="C36" s="2">
        <v>23.8</v>
      </c>
    </row>
    <row r="37" spans="2:3" x14ac:dyDescent="0.35">
      <c r="B37" s="1" t="s">
        <v>51</v>
      </c>
      <c r="C37" s="2">
        <v>10</v>
      </c>
    </row>
    <row r="38" spans="2:3" x14ac:dyDescent="0.35">
      <c r="B38" s="1" t="s">
        <v>52</v>
      </c>
      <c r="C38" s="2">
        <v>0.95499999999999996</v>
      </c>
    </row>
  </sheetData>
  <mergeCells count="9"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30" t="s">
        <v>53</v>
      </c>
      <c r="B1" s="25"/>
      <c r="C1" s="25"/>
      <c r="D1" s="25"/>
      <c r="E1" s="25"/>
      <c r="F1" s="25"/>
    </row>
    <row r="3" spans="1:6" ht="22" customHeight="1" x14ac:dyDescent="0.35">
      <c r="B3" s="40" t="s">
        <v>54</v>
      </c>
      <c r="C3" s="25"/>
      <c r="D3" s="25"/>
      <c r="E3" s="25"/>
    </row>
    <row r="4" spans="1:6" ht="33" x14ac:dyDescent="0.35">
      <c r="B4" s="1" t="s">
        <v>55</v>
      </c>
      <c r="C4" s="14">
        <v>0.87003472222222222</v>
      </c>
      <c r="E4" s="1" t="s">
        <v>56</v>
      </c>
      <c r="F4" s="5" t="s">
        <v>121</v>
      </c>
    </row>
    <row r="5" spans="1:6" ht="16.5" x14ac:dyDescent="0.35">
      <c r="B5" s="1" t="s">
        <v>39</v>
      </c>
      <c r="C5" s="5" t="s">
        <v>38</v>
      </c>
    </row>
    <row r="7" spans="1:6" x14ac:dyDescent="0.35">
      <c r="B7" s="26" t="s">
        <v>57</v>
      </c>
      <c r="C7" s="25"/>
      <c r="D7" s="25"/>
      <c r="E7" s="25"/>
    </row>
    <row r="8" spans="1:6" ht="16.5" x14ac:dyDescent="0.35">
      <c r="B8" s="1" t="s">
        <v>58</v>
      </c>
      <c r="C8" s="15" t="s">
        <v>120</v>
      </c>
      <c r="E8" s="1" t="s">
        <v>31</v>
      </c>
      <c r="F8" s="5">
        <v>100</v>
      </c>
    </row>
    <row r="9" spans="1:6" ht="16.5" x14ac:dyDescent="0.35">
      <c r="B9" s="1" t="s">
        <v>26</v>
      </c>
      <c r="C9" s="5" t="s">
        <v>27</v>
      </c>
      <c r="E9" s="1" t="s">
        <v>59</v>
      </c>
      <c r="F9" s="5" t="s">
        <v>105</v>
      </c>
    </row>
    <row r="10" spans="1:6" ht="16.5" x14ac:dyDescent="0.35">
      <c r="B10" s="1" t="s">
        <v>60</v>
      </c>
      <c r="C10" s="5">
        <v>255</v>
      </c>
      <c r="E10" s="1" t="s">
        <v>61</v>
      </c>
      <c r="F10" s="5">
        <v>34</v>
      </c>
    </row>
    <row r="12" spans="1:6" x14ac:dyDescent="0.35">
      <c r="B12" s="28" t="s">
        <v>62</v>
      </c>
      <c r="C12" s="25"/>
      <c r="D12" s="25"/>
      <c r="E12" s="25"/>
    </row>
    <row r="13" spans="1:6" ht="16.5" x14ac:dyDescent="0.35">
      <c r="B13" s="1" t="s">
        <v>63</v>
      </c>
      <c r="C13" s="5">
        <v>-158.4</v>
      </c>
      <c r="E13" s="1" t="s">
        <v>64</v>
      </c>
      <c r="F13" s="5">
        <v>15.4</v>
      </c>
    </row>
    <row r="15" spans="1:6" x14ac:dyDescent="0.35">
      <c r="B15" s="39" t="s">
        <v>65</v>
      </c>
      <c r="C15" s="25"/>
      <c r="D15" s="25"/>
      <c r="E15" s="25"/>
    </row>
    <row r="16" spans="1:6" ht="16.5" x14ac:dyDescent="0.35">
      <c r="B16" s="1" t="s">
        <v>51</v>
      </c>
      <c r="C16" s="5">
        <v>10</v>
      </c>
      <c r="E16" s="1" t="s">
        <v>66</v>
      </c>
      <c r="F16" s="5">
        <v>0</v>
      </c>
    </row>
    <row r="17" spans="2:6" ht="16.5" x14ac:dyDescent="0.35">
      <c r="B17" s="1" t="s">
        <v>50</v>
      </c>
      <c r="C17" s="5">
        <v>23.8</v>
      </c>
    </row>
    <row r="19" spans="2:6" x14ac:dyDescent="0.35">
      <c r="B19" s="41" t="s">
        <v>67</v>
      </c>
      <c r="C19" s="25"/>
      <c r="D19" s="25"/>
      <c r="E19" s="25"/>
    </row>
    <row r="20" spans="2:6" x14ac:dyDescent="0.35">
      <c r="B20" s="31"/>
      <c r="C20" s="32"/>
      <c r="D20" s="32"/>
      <c r="E20" s="32"/>
      <c r="F20" s="33"/>
    </row>
    <row r="21" spans="2:6" x14ac:dyDescent="0.35">
      <c r="B21" s="34"/>
      <c r="C21" s="25"/>
      <c r="D21" s="25"/>
      <c r="E21" s="25"/>
      <c r="F21" s="35"/>
    </row>
    <row r="22" spans="2:6" x14ac:dyDescent="0.35">
      <c r="B22" s="34"/>
      <c r="C22" s="25"/>
      <c r="D22" s="25"/>
      <c r="E22" s="25"/>
      <c r="F22" s="35"/>
    </row>
    <row r="23" spans="2:6" x14ac:dyDescent="0.35">
      <c r="B23" s="34"/>
      <c r="C23" s="25"/>
      <c r="D23" s="25"/>
      <c r="E23" s="25"/>
      <c r="F23" s="35"/>
    </row>
    <row r="24" spans="2:6" x14ac:dyDescent="0.35">
      <c r="B24" s="36"/>
      <c r="C24" s="37"/>
      <c r="D24" s="37"/>
      <c r="E24" s="37"/>
      <c r="F24" s="38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5" activePane="bottomLeft" state="frozen"/>
      <selection pane="bottomLeft"/>
    </sheetView>
  </sheetViews>
  <sheetFormatPr defaultRowHeight="14.5" x14ac:dyDescent="0.35"/>
  <cols>
    <col min="1" max="1" width="14" style="6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" customHeight="1" x14ac:dyDescent="0.35">
      <c r="A1" s="7" t="s">
        <v>68</v>
      </c>
      <c r="B1" s="7" t="s">
        <v>69</v>
      </c>
      <c r="C1" s="7" t="s">
        <v>70</v>
      </c>
      <c r="D1" s="7" t="s">
        <v>71</v>
      </c>
      <c r="E1" s="7" t="s">
        <v>72</v>
      </c>
      <c r="F1" s="7" t="s">
        <v>73</v>
      </c>
      <c r="G1" s="7" t="s">
        <v>74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K2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8" customWidth="1"/>
    <col min="3" max="3" width="10" customWidth="1"/>
    <col min="4" max="4" width="22" customWidth="1"/>
    <col min="5" max="8" width="14" customWidth="1"/>
    <col min="9" max="9" width="16" customWidth="1"/>
    <col min="10" max="11" width="14" customWidth="1"/>
  </cols>
  <sheetData>
    <row r="1" spans="1:11" x14ac:dyDescent="0.35">
      <c r="A1" s="7" t="s">
        <v>75</v>
      </c>
      <c r="B1" s="7" t="s">
        <v>76</v>
      </c>
      <c r="C1" s="7" t="s">
        <v>70</v>
      </c>
      <c r="D1" s="7" t="s">
        <v>77</v>
      </c>
      <c r="E1" s="7" t="s">
        <v>72</v>
      </c>
      <c r="F1" s="7" t="s">
        <v>78</v>
      </c>
      <c r="G1" s="7" t="s">
        <v>73</v>
      </c>
      <c r="H1" s="7" t="s">
        <v>79</v>
      </c>
      <c r="I1" s="7" t="s">
        <v>80</v>
      </c>
      <c r="J1" s="7" t="s">
        <v>81</v>
      </c>
      <c r="K1" s="7" t="s">
        <v>82</v>
      </c>
    </row>
    <row r="2" spans="1:11" x14ac:dyDescent="0.35">
      <c r="H2" s="8" t="s">
        <v>83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7" t="s">
        <v>75</v>
      </c>
      <c r="B1" s="7" t="s">
        <v>63</v>
      </c>
      <c r="C1" s="7" t="s">
        <v>64</v>
      </c>
      <c r="D1" s="7" t="s">
        <v>71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147"/>
  <sheetViews>
    <sheetView showGridLines="0" workbookViewId="0">
      <pane ySplit="1" topLeftCell="A2" activePane="bottomLeft" state="frozen"/>
      <selection pane="bottomLeft" activeCell="M8" sqref="M8"/>
    </sheetView>
  </sheetViews>
  <sheetFormatPr defaultRowHeight="14.5" x14ac:dyDescent="0.35"/>
  <cols>
    <col min="1" max="1" width="21.36328125" style="43" customWidth="1"/>
    <col min="2" max="2" width="12" customWidth="1"/>
    <col min="3" max="3" width="60" customWidth="1"/>
  </cols>
  <sheetData>
    <row r="1" spans="1:3" x14ac:dyDescent="0.35">
      <c r="A1" s="42" t="s">
        <v>75</v>
      </c>
      <c r="B1" s="9" t="s">
        <v>84</v>
      </c>
      <c r="C1" s="9" t="s">
        <v>85</v>
      </c>
    </row>
    <row r="2" spans="1:3" x14ac:dyDescent="0.35">
      <c r="A2" s="43" t="s">
        <v>168</v>
      </c>
      <c r="B2" t="s">
        <v>90</v>
      </c>
    </row>
    <row r="3" spans="1:3" x14ac:dyDescent="0.35">
      <c r="A3" s="43" t="s">
        <v>169</v>
      </c>
      <c r="B3" t="s">
        <v>90</v>
      </c>
    </row>
    <row r="4" spans="1:3" x14ac:dyDescent="0.35">
      <c r="A4" s="43" t="s">
        <v>169</v>
      </c>
      <c r="B4" t="s">
        <v>98</v>
      </c>
      <c r="C4" t="s">
        <v>139</v>
      </c>
    </row>
    <row r="5" spans="1:3" x14ac:dyDescent="0.35">
      <c r="A5" s="43" t="s">
        <v>169</v>
      </c>
      <c r="B5" t="s">
        <v>90</v>
      </c>
      <c r="C5" t="s">
        <v>122</v>
      </c>
    </row>
    <row r="6" spans="1:3" x14ac:dyDescent="0.35">
      <c r="A6" s="43" t="s">
        <v>170</v>
      </c>
      <c r="B6" t="s">
        <v>98</v>
      </c>
      <c r="C6" t="s">
        <v>147</v>
      </c>
    </row>
    <row r="7" spans="1:3" x14ac:dyDescent="0.35">
      <c r="A7" s="43" t="s">
        <v>170</v>
      </c>
      <c r="B7" t="s">
        <v>90</v>
      </c>
      <c r="C7" s="44" t="s">
        <v>123</v>
      </c>
    </row>
    <row r="8" spans="1:3" x14ac:dyDescent="0.35">
      <c r="A8" s="43" t="s">
        <v>171</v>
      </c>
      <c r="B8" t="s">
        <v>98</v>
      </c>
      <c r="C8" t="s">
        <v>140</v>
      </c>
    </row>
    <row r="9" spans="1:3" x14ac:dyDescent="0.35">
      <c r="A9" s="43" t="s">
        <v>171</v>
      </c>
      <c r="B9" t="s">
        <v>90</v>
      </c>
      <c r="C9" t="s">
        <v>124</v>
      </c>
    </row>
    <row r="10" spans="1:3" x14ac:dyDescent="0.35">
      <c r="A10" s="43" t="s">
        <v>172</v>
      </c>
      <c r="B10" t="s">
        <v>98</v>
      </c>
      <c r="C10" t="s">
        <v>141</v>
      </c>
    </row>
    <row r="11" spans="1:3" x14ac:dyDescent="0.35">
      <c r="A11" s="43" t="s">
        <v>172</v>
      </c>
      <c r="B11" t="s">
        <v>90</v>
      </c>
      <c r="C11" t="s">
        <v>125</v>
      </c>
    </row>
    <row r="12" spans="1:3" x14ac:dyDescent="0.35">
      <c r="A12" s="43" t="s">
        <v>173</v>
      </c>
      <c r="B12" t="s">
        <v>98</v>
      </c>
      <c r="C12" t="s">
        <v>159</v>
      </c>
    </row>
    <row r="13" spans="1:3" x14ac:dyDescent="0.35">
      <c r="A13" s="43" t="s">
        <v>173</v>
      </c>
      <c r="B13" t="s">
        <v>90</v>
      </c>
      <c r="C13" t="s">
        <v>126</v>
      </c>
    </row>
    <row r="14" spans="1:3" x14ac:dyDescent="0.35">
      <c r="A14" s="43" t="s">
        <v>174</v>
      </c>
      <c r="B14" t="s">
        <v>98</v>
      </c>
      <c r="C14" t="s">
        <v>148</v>
      </c>
    </row>
    <row r="15" spans="1:3" x14ac:dyDescent="0.35">
      <c r="A15" s="43" t="s">
        <v>174</v>
      </c>
      <c r="B15" t="s">
        <v>90</v>
      </c>
      <c r="C15" t="s">
        <v>127</v>
      </c>
    </row>
    <row r="16" spans="1:3" x14ac:dyDescent="0.35">
      <c r="A16" s="43" t="s">
        <v>175</v>
      </c>
      <c r="B16" t="s">
        <v>98</v>
      </c>
      <c r="C16" t="s">
        <v>142</v>
      </c>
    </row>
    <row r="17" spans="1:3" x14ac:dyDescent="0.35">
      <c r="A17" s="43" t="s">
        <v>176</v>
      </c>
      <c r="B17" t="s">
        <v>90</v>
      </c>
      <c r="C17" t="s">
        <v>128</v>
      </c>
    </row>
    <row r="18" spans="1:3" x14ac:dyDescent="0.35">
      <c r="A18" s="43" t="s">
        <v>177</v>
      </c>
      <c r="B18" t="s">
        <v>98</v>
      </c>
      <c r="C18" t="s">
        <v>163</v>
      </c>
    </row>
    <row r="19" spans="1:3" x14ac:dyDescent="0.35">
      <c r="A19" s="43" t="s">
        <v>177</v>
      </c>
      <c r="B19" t="s">
        <v>90</v>
      </c>
      <c r="C19" t="s">
        <v>129</v>
      </c>
    </row>
    <row r="20" spans="1:3" x14ac:dyDescent="0.35">
      <c r="A20" s="43" t="s">
        <v>178</v>
      </c>
      <c r="B20" t="s">
        <v>98</v>
      </c>
      <c r="C20" t="s">
        <v>179</v>
      </c>
    </row>
    <row r="21" spans="1:3" x14ac:dyDescent="0.35">
      <c r="A21" s="43" t="s">
        <v>178</v>
      </c>
      <c r="B21" t="s">
        <v>90</v>
      </c>
      <c r="C21" t="s">
        <v>130</v>
      </c>
    </row>
    <row r="22" spans="1:3" x14ac:dyDescent="0.35">
      <c r="A22" s="43" t="s">
        <v>180</v>
      </c>
      <c r="B22" t="s">
        <v>98</v>
      </c>
      <c r="C22" t="s">
        <v>181</v>
      </c>
    </row>
    <row r="23" spans="1:3" x14ac:dyDescent="0.35">
      <c r="A23" s="43" t="s">
        <v>180</v>
      </c>
      <c r="B23" t="s">
        <v>90</v>
      </c>
      <c r="C23" t="s">
        <v>131</v>
      </c>
    </row>
    <row r="24" spans="1:3" x14ac:dyDescent="0.35">
      <c r="A24" s="43" t="s">
        <v>182</v>
      </c>
      <c r="B24" t="s">
        <v>98</v>
      </c>
      <c r="C24" s="44" t="s">
        <v>143</v>
      </c>
    </row>
    <row r="25" spans="1:3" x14ac:dyDescent="0.35">
      <c r="A25" s="43" t="s">
        <v>182</v>
      </c>
      <c r="B25" t="s">
        <v>90</v>
      </c>
      <c r="C25" t="s">
        <v>132</v>
      </c>
    </row>
    <row r="26" spans="1:3" x14ac:dyDescent="0.35">
      <c r="A26" s="43" t="s">
        <v>182</v>
      </c>
      <c r="B26" t="s">
        <v>151</v>
      </c>
      <c r="C26" t="s">
        <v>183</v>
      </c>
    </row>
    <row r="27" spans="1:3" x14ac:dyDescent="0.35">
      <c r="A27" s="43" t="s">
        <v>184</v>
      </c>
      <c r="B27" t="s">
        <v>98</v>
      </c>
      <c r="C27" t="s">
        <v>160</v>
      </c>
    </row>
    <row r="28" spans="1:3" x14ac:dyDescent="0.35">
      <c r="A28" s="43" t="s">
        <v>184</v>
      </c>
      <c r="B28" t="s">
        <v>90</v>
      </c>
      <c r="C28" t="s">
        <v>133</v>
      </c>
    </row>
    <row r="29" spans="1:3" x14ac:dyDescent="0.35">
      <c r="A29" s="43" t="s">
        <v>185</v>
      </c>
      <c r="B29" t="s">
        <v>98</v>
      </c>
      <c r="C29" t="s">
        <v>144</v>
      </c>
    </row>
    <row r="30" spans="1:3" x14ac:dyDescent="0.35">
      <c r="A30" s="43" t="s">
        <v>185</v>
      </c>
      <c r="B30" t="s">
        <v>90</v>
      </c>
      <c r="C30" t="s">
        <v>145</v>
      </c>
    </row>
    <row r="31" spans="1:3" x14ac:dyDescent="0.35">
      <c r="A31" s="43" t="s">
        <v>185</v>
      </c>
      <c r="B31" t="s">
        <v>151</v>
      </c>
      <c r="C31" t="s">
        <v>186</v>
      </c>
    </row>
    <row r="32" spans="1:3" x14ac:dyDescent="0.35">
      <c r="A32" s="43" t="s">
        <v>187</v>
      </c>
      <c r="B32" t="s">
        <v>98</v>
      </c>
      <c r="C32" t="s">
        <v>188</v>
      </c>
    </row>
    <row r="33" spans="1:3" x14ac:dyDescent="0.35">
      <c r="A33" s="43" t="s">
        <v>187</v>
      </c>
      <c r="B33" t="s">
        <v>90</v>
      </c>
      <c r="C33" t="s">
        <v>146</v>
      </c>
    </row>
    <row r="34" spans="1:3" x14ac:dyDescent="0.35">
      <c r="A34" s="43" t="s">
        <v>189</v>
      </c>
      <c r="B34" t="s">
        <v>90</v>
      </c>
    </row>
    <row r="35" spans="1:3" x14ac:dyDescent="0.35">
      <c r="A35" s="43" t="s">
        <v>189</v>
      </c>
      <c r="B35" t="s">
        <v>97</v>
      </c>
      <c r="C35" t="s">
        <v>190</v>
      </c>
    </row>
    <row r="36" spans="1:3" x14ac:dyDescent="0.35">
      <c r="A36" s="43" t="s">
        <v>189</v>
      </c>
      <c r="B36" t="s">
        <v>134</v>
      </c>
      <c r="C36" t="s">
        <v>191</v>
      </c>
    </row>
    <row r="37" spans="1:3" x14ac:dyDescent="0.35">
      <c r="A37" s="43" t="s">
        <v>189</v>
      </c>
      <c r="B37" t="s">
        <v>90</v>
      </c>
      <c r="C37" t="s">
        <v>192</v>
      </c>
    </row>
    <row r="38" spans="1:3" x14ac:dyDescent="0.35">
      <c r="A38" s="43" t="s">
        <v>189</v>
      </c>
      <c r="B38" t="s">
        <v>98</v>
      </c>
      <c r="C38" t="s">
        <v>152</v>
      </c>
    </row>
    <row r="39" spans="1:3" x14ac:dyDescent="0.35">
      <c r="A39" s="43" t="s">
        <v>193</v>
      </c>
      <c r="B39" t="s">
        <v>98</v>
      </c>
      <c r="C39" t="s">
        <v>194</v>
      </c>
    </row>
    <row r="40" spans="1:3" x14ac:dyDescent="0.35">
      <c r="A40" s="43" t="s">
        <v>193</v>
      </c>
      <c r="B40" t="s">
        <v>90</v>
      </c>
      <c r="C40" t="s">
        <v>195</v>
      </c>
    </row>
    <row r="41" spans="1:3" x14ac:dyDescent="0.35">
      <c r="A41" s="43" t="s">
        <v>193</v>
      </c>
      <c r="B41" t="s">
        <v>151</v>
      </c>
      <c r="C41" t="s">
        <v>196</v>
      </c>
    </row>
    <row r="42" spans="1:3" x14ac:dyDescent="0.35">
      <c r="A42" s="43" t="s">
        <v>197</v>
      </c>
      <c r="B42" t="s">
        <v>98</v>
      </c>
      <c r="C42" t="s">
        <v>116</v>
      </c>
    </row>
    <row r="43" spans="1:3" x14ac:dyDescent="0.35">
      <c r="A43" s="43" t="s">
        <v>198</v>
      </c>
      <c r="B43" t="s">
        <v>98</v>
      </c>
      <c r="C43" t="s">
        <v>199</v>
      </c>
    </row>
    <row r="44" spans="1:3" x14ac:dyDescent="0.35">
      <c r="A44" s="43" t="s">
        <v>198</v>
      </c>
      <c r="B44" t="s">
        <v>90</v>
      </c>
      <c r="C44" t="s">
        <v>200</v>
      </c>
    </row>
    <row r="45" spans="1:3" x14ac:dyDescent="0.35">
      <c r="A45" s="43" t="s">
        <v>198</v>
      </c>
      <c r="B45" t="s">
        <v>151</v>
      </c>
      <c r="C45" t="s">
        <v>201</v>
      </c>
    </row>
    <row r="46" spans="1:3" x14ac:dyDescent="0.35">
      <c r="A46" s="43" t="s">
        <v>202</v>
      </c>
      <c r="B46" t="s">
        <v>98</v>
      </c>
      <c r="C46" t="s">
        <v>153</v>
      </c>
    </row>
    <row r="47" spans="1:3" x14ac:dyDescent="0.35">
      <c r="A47" s="43" t="s">
        <v>202</v>
      </c>
      <c r="B47" t="s">
        <v>98</v>
      </c>
      <c r="C47" t="s">
        <v>203</v>
      </c>
    </row>
    <row r="48" spans="1:3" x14ac:dyDescent="0.35">
      <c r="A48" s="43" t="s">
        <v>202</v>
      </c>
      <c r="B48" t="s">
        <v>90</v>
      </c>
      <c r="C48" t="s">
        <v>161</v>
      </c>
    </row>
    <row r="49" spans="1:3" x14ac:dyDescent="0.35">
      <c r="A49" s="43" t="s">
        <v>202</v>
      </c>
      <c r="B49" t="s">
        <v>151</v>
      </c>
      <c r="C49" t="s">
        <v>204</v>
      </c>
    </row>
    <row r="50" spans="1:3" x14ac:dyDescent="0.35">
      <c r="A50" s="43" t="s">
        <v>205</v>
      </c>
      <c r="B50" t="s">
        <v>98</v>
      </c>
      <c r="C50" t="s">
        <v>136</v>
      </c>
    </row>
    <row r="51" spans="1:3" x14ac:dyDescent="0.35">
      <c r="A51" s="43" t="s">
        <v>205</v>
      </c>
      <c r="B51" t="s">
        <v>98</v>
      </c>
      <c r="C51" t="s">
        <v>206</v>
      </c>
    </row>
    <row r="52" spans="1:3" x14ac:dyDescent="0.35">
      <c r="A52" s="43" t="s">
        <v>205</v>
      </c>
      <c r="B52" t="s">
        <v>90</v>
      </c>
      <c r="C52" t="s">
        <v>207</v>
      </c>
    </row>
    <row r="53" spans="1:3" x14ac:dyDescent="0.35">
      <c r="A53" s="43" t="s">
        <v>205</v>
      </c>
      <c r="B53" t="s">
        <v>151</v>
      </c>
      <c r="C53" t="s">
        <v>208</v>
      </c>
    </row>
    <row r="54" spans="1:3" x14ac:dyDescent="0.35">
      <c r="A54" s="43" t="s">
        <v>209</v>
      </c>
      <c r="B54" t="s">
        <v>98</v>
      </c>
      <c r="C54" t="s">
        <v>118</v>
      </c>
    </row>
    <row r="55" spans="1:3" x14ac:dyDescent="0.35">
      <c r="A55" s="43" t="s">
        <v>210</v>
      </c>
      <c r="B55" t="s">
        <v>98</v>
      </c>
      <c r="C55" t="s">
        <v>211</v>
      </c>
    </row>
    <row r="56" spans="1:3" x14ac:dyDescent="0.35">
      <c r="A56" s="43" t="s">
        <v>210</v>
      </c>
      <c r="B56" t="s">
        <v>90</v>
      </c>
      <c r="C56" t="s">
        <v>212</v>
      </c>
    </row>
    <row r="57" spans="1:3" x14ac:dyDescent="0.35">
      <c r="A57" s="43" t="s">
        <v>210</v>
      </c>
      <c r="B57" t="s">
        <v>151</v>
      </c>
      <c r="C57" t="s">
        <v>213</v>
      </c>
    </row>
    <row r="58" spans="1:3" x14ac:dyDescent="0.35">
      <c r="A58" s="43" t="s">
        <v>214</v>
      </c>
      <c r="B58" t="s">
        <v>98</v>
      </c>
      <c r="C58" t="s">
        <v>137</v>
      </c>
    </row>
    <row r="59" spans="1:3" x14ac:dyDescent="0.35">
      <c r="A59" s="43" t="s">
        <v>215</v>
      </c>
      <c r="B59" t="s">
        <v>98</v>
      </c>
      <c r="C59" t="s">
        <v>216</v>
      </c>
    </row>
    <row r="60" spans="1:3" x14ac:dyDescent="0.35">
      <c r="A60" s="43" t="s">
        <v>215</v>
      </c>
      <c r="B60" t="s">
        <v>90</v>
      </c>
      <c r="C60" t="s">
        <v>217</v>
      </c>
    </row>
    <row r="61" spans="1:3" x14ac:dyDescent="0.35">
      <c r="A61" s="43" t="s">
        <v>215</v>
      </c>
      <c r="B61" t="s">
        <v>151</v>
      </c>
      <c r="C61" t="s">
        <v>218</v>
      </c>
    </row>
    <row r="62" spans="1:3" x14ac:dyDescent="0.35">
      <c r="A62" s="43" t="s">
        <v>219</v>
      </c>
      <c r="B62" t="s">
        <v>98</v>
      </c>
      <c r="C62" t="s">
        <v>162</v>
      </c>
    </row>
    <row r="63" spans="1:3" x14ac:dyDescent="0.35">
      <c r="A63" s="43" t="s">
        <v>219</v>
      </c>
      <c r="B63" t="s">
        <v>98</v>
      </c>
      <c r="C63" t="s">
        <v>220</v>
      </c>
    </row>
    <row r="64" spans="1:3" x14ac:dyDescent="0.35">
      <c r="A64" s="43" t="s">
        <v>219</v>
      </c>
      <c r="B64" t="s">
        <v>90</v>
      </c>
      <c r="C64" t="s">
        <v>221</v>
      </c>
    </row>
    <row r="65" spans="1:3" x14ac:dyDescent="0.35">
      <c r="A65" s="43" t="s">
        <v>219</v>
      </c>
      <c r="B65" t="s">
        <v>151</v>
      </c>
      <c r="C65" t="s">
        <v>222</v>
      </c>
    </row>
    <row r="66" spans="1:3" x14ac:dyDescent="0.35">
      <c r="A66" s="43" t="s">
        <v>223</v>
      </c>
      <c r="B66" t="s">
        <v>98</v>
      </c>
      <c r="C66" t="s">
        <v>164</v>
      </c>
    </row>
    <row r="67" spans="1:3" x14ac:dyDescent="0.35">
      <c r="A67" s="43" t="s">
        <v>223</v>
      </c>
      <c r="B67" t="s">
        <v>98</v>
      </c>
      <c r="C67" t="s">
        <v>224</v>
      </c>
    </row>
    <row r="68" spans="1:3" x14ac:dyDescent="0.35">
      <c r="A68" s="43" t="s">
        <v>223</v>
      </c>
      <c r="B68" t="s">
        <v>90</v>
      </c>
      <c r="C68" t="s">
        <v>165</v>
      </c>
    </row>
    <row r="69" spans="1:3" x14ac:dyDescent="0.35">
      <c r="A69" s="43" t="s">
        <v>223</v>
      </c>
      <c r="B69" t="s">
        <v>151</v>
      </c>
      <c r="C69" t="s">
        <v>225</v>
      </c>
    </row>
    <row r="70" spans="1:3" x14ac:dyDescent="0.35">
      <c r="A70" s="43" t="s">
        <v>226</v>
      </c>
      <c r="B70" t="s">
        <v>98</v>
      </c>
      <c r="C70" t="s">
        <v>227</v>
      </c>
    </row>
    <row r="71" spans="1:3" x14ac:dyDescent="0.35">
      <c r="A71" s="43" t="s">
        <v>226</v>
      </c>
      <c r="B71" t="s">
        <v>151</v>
      </c>
      <c r="C71" t="s">
        <v>228</v>
      </c>
    </row>
    <row r="72" spans="1:3" x14ac:dyDescent="0.35">
      <c r="A72" s="43" t="s">
        <v>229</v>
      </c>
      <c r="B72" t="s">
        <v>98</v>
      </c>
      <c r="C72" t="s">
        <v>135</v>
      </c>
    </row>
    <row r="73" spans="1:3" x14ac:dyDescent="0.35">
      <c r="A73" s="43" t="s">
        <v>230</v>
      </c>
      <c r="B73" t="s">
        <v>98</v>
      </c>
      <c r="C73" t="s">
        <v>231</v>
      </c>
    </row>
    <row r="74" spans="1:3" x14ac:dyDescent="0.35">
      <c r="A74" s="43" t="s">
        <v>230</v>
      </c>
      <c r="B74" t="s">
        <v>90</v>
      </c>
      <c r="C74" t="s">
        <v>232</v>
      </c>
    </row>
    <row r="75" spans="1:3" x14ac:dyDescent="0.35">
      <c r="A75" s="43" t="s">
        <v>230</v>
      </c>
      <c r="B75" t="s">
        <v>151</v>
      </c>
      <c r="C75" t="s">
        <v>233</v>
      </c>
    </row>
    <row r="76" spans="1:3" x14ac:dyDescent="0.35">
      <c r="A76" s="43" t="s">
        <v>234</v>
      </c>
      <c r="B76" t="s">
        <v>98</v>
      </c>
      <c r="C76" t="s">
        <v>149</v>
      </c>
    </row>
    <row r="77" spans="1:3" x14ac:dyDescent="0.35">
      <c r="A77" s="43" t="s">
        <v>234</v>
      </c>
      <c r="B77" t="s">
        <v>151</v>
      </c>
      <c r="C77" t="s">
        <v>235</v>
      </c>
    </row>
    <row r="78" spans="1:3" x14ac:dyDescent="0.35">
      <c r="A78" s="43" t="s">
        <v>236</v>
      </c>
      <c r="B78" t="s">
        <v>90</v>
      </c>
    </row>
    <row r="79" spans="1:3" x14ac:dyDescent="0.35">
      <c r="A79" s="43" t="s">
        <v>236</v>
      </c>
      <c r="B79" t="s">
        <v>98</v>
      </c>
      <c r="C79" t="s">
        <v>150</v>
      </c>
    </row>
    <row r="80" spans="1:3" x14ac:dyDescent="0.35">
      <c r="A80" s="43" t="s">
        <v>236</v>
      </c>
      <c r="B80" t="s">
        <v>151</v>
      </c>
      <c r="C80" t="s">
        <v>237</v>
      </c>
    </row>
    <row r="81" spans="1:3" x14ac:dyDescent="0.35">
      <c r="A81" s="43" t="s">
        <v>238</v>
      </c>
      <c r="B81" t="s">
        <v>119</v>
      </c>
      <c r="C81" t="s">
        <v>239</v>
      </c>
    </row>
    <row r="82" spans="1:3" x14ac:dyDescent="0.35">
      <c r="A82" s="43" t="s">
        <v>240</v>
      </c>
      <c r="B82" t="s">
        <v>98</v>
      </c>
      <c r="C82" t="s">
        <v>241</v>
      </c>
    </row>
    <row r="83" spans="1:3" x14ac:dyDescent="0.35">
      <c r="A83" s="43" t="s">
        <v>240</v>
      </c>
      <c r="B83" t="s">
        <v>90</v>
      </c>
      <c r="C83" t="s">
        <v>242</v>
      </c>
    </row>
    <row r="84" spans="1:3" x14ac:dyDescent="0.35">
      <c r="A84" s="43" t="s">
        <v>240</v>
      </c>
      <c r="B84" t="s">
        <v>151</v>
      </c>
      <c r="C84" t="s">
        <v>243</v>
      </c>
    </row>
    <row r="85" spans="1:3" x14ac:dyDescent="0.35">
      <c r="A85" s="43" t="s">
        <v>244</v>
      </c>
      <c r="B85" t="s">
        <v>119</v>
      </c>
      <c r="C85" t="s">
        <v>245</v>
      </c>
    </row>
    <row r="86" spans="1:3" x14ac:dyDescent="0.35">
      <c r="A86" s="43" t="s">
        <v>244</v>
      </c>
      <c r="B86" t="s">
        <v>98</v>
      </c>
      <c r="C86" t="s">
        <v>166</v>
      </c>
    </row>
    <row r="87" spans="1:3" x14ac:dyDescent="0.35">
      <c r="A87" s="43" t="s">
        <v>244</v>
      </c>
      <c r="B87" t="s">
        <v>90</v>
      </c>
      <c r="C87" t="s">
        <v>246</v>
      </c>
    </row>
    <row r="88" spans="1:3" x14ac:dyDescent="0.35">
      <c r="A88" s="43" t="s">
        <v>244</v>
      </c>
      <c r="B88" t="s">
        <v>151</v>
      </c>
      <c r="C88" t="s">
        <v>247</v>
      </c>
    </row>
    <row r="89" spans="1:3" x14ac:dyDescent="0.35">
      <c r="A89" s="43" t="s">
        <v>248</v>
      </c>
      <c r="B89" t="s">
        <v>90</v>
      </c>
    </row>
    <row r="90" spans="1:3" x14ac:dyDescent="0.35">
      <c r="A90" s="43" t="s">
        <v>248</v>
      </c>
      <c r="B90" t="s">
        <v>97</v>
      </c>
      <c r="C90" t="s">
        <v>249</v>
      </c>
    </row>
    <row r="91" spans="1:3" x14ac:dyDescent="0.35">
      <c r="A91" s="43" t="s">
        <v>248</v>
      </c>
      <c r="B91" t="s">
        <v>134</v>
      </c>
      <c r="C91" t="s">
        <v>250</v>
      </c>
    </row>
    <row r="92" spans="1:3" x14ac:dyDescent="0.35">
      <c r="A92" s="43" t="s">
        <v>248</v>
      </c>
      <c r="B92" t="s">
        <v>90</v>
      </c>
      <c r="C92" t="s">
        <v>251</v>
      </c>
    </row>
    <row r="93" spans="1:3" x14ac:dyDescent="0.35">
      <c r="A93" s="43" t="s">
        <v>248</v>
      </c>
      <c r="B93" t="s">
        <v>98</v>
      </c>
      <c r="C93" t="s">
        <v>154</v>
      </c>
    </row>
    <row r="94" spans="1:3" x14ac:dyDescent="0.35">
      <c r="A94" s="43" t="s">
        <v>252</v>
      </c>
      <c r="B94" t="s">
        <v>97</v>
      </c>
      <c r="C94" t="s">
        <v>253</v>
      </c>
    </row>
    <row r="95" spans="1:3" x14ac:dyDescent="0.35">
      <c r="A95" s="43" t="s">
        <v>252</v>
      </c>
      <c r="B95" t="s">
        <v>134</v>
      </c>
      <c r="C95" t="s">
        <v>254</v>
      </c>
    </row>
    <row r="96" spans="1:3" x14ac:dyDescent="0.35">
      <c r="A96" s="43" t="s">
        <v>252</v>
      </c>
      <c r="B96" t="s">
        <v>98</v>
      </c>
      <c r="C96" t="s">
        <v>255</v>
      </c>
    </row>
    <row r="97" spans="1:3" x14ac:dyDescent="0.35">
      <c r="A97" s="43" t="s">
        <v>252</v>
      </c>
      <c r="B97" t="s">
        <v>90</v>
      </c>
      <c r="C97" t="s">
        <v>256</v>
      </c>
    </row>
    <row r="98" spans="1:3" x14ac:dyDescent="0.35">
      <c r="A98" s="43" t="s">
        <v>252</v>
      </c>
      <c r="B98" t="s">
        <v>151</v>
      </c>
      <c r="C98" t="s">
        <v>257</v>
      </c>
    </row>
    <row r="99" spans="1:3" x14ac:dyDescent="0.35">
      <c r="A99" s="43" t="s">
        <v>258</v>
      </c>
      <c r="B99" t="s">
        <v>97</v>
      </c>
      <c r="C99" t="s">
        <v>259</v>
      </c>
    </row>
    <row r="100" spans="1:3" x14ac:dyDescent="0.35">
      <c r="A100" s="43" t="s">
        <v>258</v>
      </c>
      <c r="B100" t="s">
        <v>134</v>
      </c>
      <c r="C100" t="s">
        <v>260</v>
      </c>
    </row>
    <row r="101" spans="1:3" x14ac:dyDescent="0.35">
      <c r="A101" s="43" t="s">
        <v>258</v>
      </c>
      <c r="B101" t="s">
        <v>98</v>
      </c>
      <c r="C101" t="s">
        <v>261</v>
      </c>
    </row>
    <row r="102" spans="1:3" x14ac:dyDescent="0.35">
      <c r="A102" s="43" t="s">
        <v>258</v>
      </c>
      <c r="B102" t="s">
        <v>90</v>
      </c>
      <c r="C102" t="s">
        <v>262</v>
      </c>
    </row>
    <row r="103" spans="1:3" x14ac:dyDescent="0.35">
      <c r="A103" s="43" t="s">
        <v>258</v>
      </c>
      <c r="B103" t="s">
        <v>151</v>
      </c>
      <c r="C103" t="s">
        <v>263</v>
      </c>
    </row>
    <row r="104" spans="1:3" x14ac:dyDescent="0.35">
      <c r="A104" s="43" t="s">
        <v>264</v>
      </c>
      <c r="B104" t="s">
        <v>90</v>
      </c>
    </row>
    <row r="105" spans="1:3" x14ac:dyDescent="0.35">
      <c r="A105" s="43" t="s">
        <v>264</v>
      </c>
      <c r="B105" t="s">
        <v>97</v>
      </c>
      <c r="C105" t="s">
        <v>155</v>
      </c>
    </row>
    <row r="106" spans="1:3" x14ac:dyDescent="0.35">
      <c r="A106" s="43" t="s">
        <v>264</v>
      </c>
      <c r="B106" t="s">
        <v>134</v>
      </c>
      <c r="C106" t="s">
        <v>156</v>
      </c>
    </row>
    <row r="107" spans="1:3" x14ac:dyDescent="0.35">
      <c r="A107" s="43" t="s">
        <v>264</v>
      </c>
      <c r="B107" t="s">
        <v>90</v>
      </c>
      <c r="C107" t="s">
        <v>157</v>
      </c>
    </row>
    <row r="108" spans="1:3" x14ac:dyDescent="0.35">
      <c r="A108" s="43" t="s">
        <v>265</v>
      </c>
      <c r="B108" t="s">
        <v>119</v>
      </c>
      <c r="C108" t="s">
        <v>266</v>
      </c>
    </row>
    <row r="109" spans="1:3" x14ac:dyDescent="0.35">
      <c r="A109" s="43" t="s">
        <v>265</v>
      </c>
      <c r="B109" t="s">
        <v>98</v>
      </c>
      <c r="C109" t="s">
        <v>267</v>
      </c>
    </row>
    <row r="110" spans="1:3" x14ac:dyDescent="0.35">
      <c r="A110" s="43" t="s">
        <v>265</v>
      </c>
      <c r="B110" t="s">
        <v>98</v>
      </c>
      <c r="C110" t="s">
        <v>269</v>
      </c>
    </row>
    <row r="111" spans="1:3" x14ac:dyDescent="0.35">
      <c r="A111" s="43" t="s">
        <v>265</v>
      </c>
      <c r="B111" t="s">
        <v>90</v>
      </c>
      <c r="C111" t="s">
        <v>270</v>
      </c>
    </row>
    <row r="112" spans="1:3" x14ac:dyDescent="0.35">
      <c r="A112" s="43" t="s">
        <v>265</v>
      </c>
      <c r="B112" t="s">
        <v>151</v>
      </c>
      <c r="C112" t="s">
        <v>271</v>
      </c>
    </row>
    <row r="113" spans="1:3" x14ac:dyDescent="0.35">
      <c r="A113" s="43" t="s">
        <v>272</v>
      </c>
      <c r="B113" t="s">
        <v>98</v>
      </c>
      <c r="C113" t="s">
        <v>99</v>
      </c>
    </row>
    <row r="114" spans="1:3" x14ac:dyDescent="0.35">
      <c r="A114" s="43" t="s">
        <v>272</v>
      </c>
      <c r="B114" t="s">
        <v>98</v>
      </c>
      <c r="C114" t="s">
        <v>138</v>
      </c>
    </row>
    <row r="115" spans="1:3" x14ac:dyDescent="0.35">
      <c r="A115" s="43" t="s">
        <v>272</v>
      </c>
      <c r="B115" t="s">
        <v>98</v>
      </c>
      <c r="C115" t="s">
        <v>273</v>
      </c>
    </row>
    <row r="116" spans="1:3" x14ac:dyDescent="0.35">
      <c r="A116" s="43" t="s">
        <v>272</v>
      </c>
      <c r="B116" t="s">
        <v>90</v>
      </c>
      <c r="C116" t="s">
        <v>274</v>
      </c>
    </row>
    <row r="117" spans="1:3" x14ac:dyDescent="0.35">
      <c r="A117" s="43" t="s">
        <v>272</v>
      </c>
      <c r="B117" t="s">
        <v>151</v>
      </c>
      <c r="C117" t="s">
        <v>275</v>
      </c>
    </row>
    <row r="118" spans="1:3" x14ac:dyDescent="0.35">
      <c r="A118" s="43" t="s">
        <v>276</v>
      </c>
      <c r="B118" t="s">
        <v>98</v>
      </c>
      <c r="C118" t="s">
        <v>117</v>
      </c>
    </row>
    <row r="119" spans="1:3" x14ac:dyDescent="0.35">
      <c r="A119" s="43" t="s">
        <v>276</v>
      </c>
      <c r="B119" t="s">
        <v>98</v>
      </c>
      <c r="C119" t="s">
        <v>277</v>
      </c>
    </row>
    <row r="120" spans="1:3" x14ac:dyDescent="0.35">
      <c r="A120" s="43" t="s">
        <v>276</v>
      </c>
      <c r="B120" t="s">
        <v>90</v>
      </c>
      <c r="C120" t="s">
        <v>278</v>
      </c>
    </row>
    <row r="121" spans="1:3" x14ac:dyDescent="0.35">
      <c r="A121" s="43" t="s">
        <v>276</v>
      </c>
      <c r="B121" t="s">
        <v>151</v>
      </c>
      <c r="C121" t="s">
        <v>279</v>
      </c>
    </row>
    <row r="122" spans="1:3" x14ac:dyDescent="0.35">
      <c r="A122" s="43" t="s">
        <v>280</v>
      </c>
      <c r="B122" t="s">
        <v>98</v>
      </c>
      <c r="C122" t="s">
        <v>100</v>
      </c>
    </row>
    <row r="123" spans="1:3" x14ac:dyDescent="0.35">
      <c r="A123" s="43" t="s">
        <v>280</v>
      </c>
      <c r="B123" t="s">
        <v>98</v>
      </c>
      <c r="C123" t="s">
        <v>281</v>
      </c>
    </row>
    <row r="124" spans="1:3" x14ac:dyDescent="0.35">
      <c r="A124" s="43" t="s">
        <v>280</v>
      </c>
      <c r="B124" t="s">
        <v>90</v>
      </c>
      <c r="C124" t="s">
        <v>282</v>
      </c>
    </row>
    <row r="125" spans="1:3" x14ac:dyDescent="0.35">
      <c r="A125" s="43" t="s">
        <v>280</v>
      </c>
      <c r="B125" t="s">
        <v>151</v>
      </c>
      <c r="C125" t="s">
        <v>283</v>
      </c>
    </row>
    <row r="126" spans="1:3" x14ac:dyDescent="0.35">
      <c r="A126" s="43" t="s">
        <v>284</v>
      </c>
      <c r="B126" t="s">
        <v>90</v>
      </c>
    </row>
    <row r="127" spans="1:3" x14ac:dyDescent="0.35">
      <c r="A127" s="43" t="s">
        <v>285</v>
      </c>
      <c r="B127" t="s">
        <v>98</v>
      </c>
      <c r="C127" t="s">
        <v>167</v>
      </c>
    </row>
    <row r="128" spans="1:3" x14ac:dyDescent="0.35">
      <c r="A128" s="43" t="s">
        <v>285</v>
      </c>
      <c r="B128" t="s">
        <v>90</v>
      </c>
      <c r="C128" t="s">
        <v>101</v>
      </c>
    </row>
    <row r="129" spans="1:3" x14ac:dyDescent="0.35">
      <c r="A129" s="43" t="s">
        <v>285</v>
      </c>
      <c r="B129" t="s">
        <v>151</v>
      </c>
      <c r="C129" t="s">
        <v>286</v>
      </c>
    </row>
    <row r="130" spans="1:3" x14ac:dyDescent="0.35">
      <c r="A130" s="43" t="s">
        <v>287</v>
      </c>
      <c r="B130" t="s">
        <v>98</v>
      </c>
      <c r="C130" t="s">
        <v>288</v>
      </c>
    </row>
    <row r="131" spans="1:3" x14ac:dyDescent="0.35">
      <c r="A131" s="43" t="s">
        <v>287</v>
      </c>
      <c r="B131" t="s">
        <v>90</v>
      </c>
      <c r="C131" t="s">
        <v>102</v>
      </c>
    </row>
    <row r="132" spans="1:3" x14ac:dyDescent="0.35">
      <c r="A132" s="43" t="s">
        <v>289</v>
      </c>
      <c r="B132" t="s">
        <v>98</v>
      </c>
      <c r="C132" t="s">
        <v>290</v>
      </c>
    </row>
    <row r="133" spans="1:3" x14ac:dyDescent="0.35">
      <c r="A133" s="43" t="s">
        <v>289</v>
      </c>
      <c r="B133" t="s">
        <v>90</v>
      </c>
      <c r="C133" t="s">
        <v>103</v>
      </c>
    </row>
    <row r="134" spans="1:3" x14ac:dyDescent="0.35">
      <c r="A134" s="43" t="s">
        <v>289</v>
      </c>
      <c r="B134" t="s">
        <v>151</v>
      </c>
      <c r="C134" t="s">
        <v>291</v>
      </c>
    </row>
    <row r="135" spans="1:3" x14ac:dyDescent="0.35">
      <c r="A135" s="43" t="s">
        <v>292</v>
      </c>
      <c r="B135" t="s">
        <v>98</v>
      </c>
      <c r="C135" t="s">
        <v>158</v>
      </c>
    </row>
    <row r="136" spans="1:3" x14ac:dyDescent="0.35">
      <c r="A136" s="43" t="s">
        <v>292</v>
      </c>
      <c r="B136" t="s">
        <v>90</v>
      </c>
      <c r="C136" t="s">
        <v>104</v>
      </c>
    </row>
    <row r="137" spans="1:3" x14ac:dyDescent="0.35">
      <c r="A137" s="43" t="s">
        <v>292</v>
      </c>
      <c r="B137" t="s">
        <v>151</v>
      </c>
      <c r="C137" t="s">
        <v>293</v>
      </c>
    </row>
    <row r="138" spans="1:3" x14ac:dyDescent="0.35">
      <c r="A138" s="43" t="s">
        <v>292</v>
      </c>
      <c r="B138" t="s">
        <v>90</v>
      </c>
    </row>
    <row r="147" spans="3:3" x14ac:dyDescent="0.35">
      <c r="C147" s="44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topLeftCell="A16" workbookViewId="0">
      <selection activeCell="I13" sqref="I13"/>
    </sheetView>
  </sheetViews>
  <sheetFormatPr defaultRowHeight="14.5" x14ac:dyDescent="0.35"/>
  <cols>
    <col min="1" max="1" width="5.36328125" style="13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3" t="s">
        <v>86</v>
      </c>
      <c r="B1" t="s">
        <v>91</v>
      </c>
      <c r="C1" t="s">
        <v>92</v>
      </c>
      <c r="D1" t="s">
        <v>93</v>
      </c>
      <c r="E1" t="s">
        <v>94</v>
      </c>
      <c r="F1" t="s">
        <v>87</v>
      </c>
    </row>
    <row r="2" spans="1:6" x14ac:dyDescent="0.35">
      <c r="A2" s="13">
        <v>0.66666666666666663</v>
      </c>
      <c r="B2">
        <v>163</v>
      </c>
      <c r="C2">
        <v>-23.9</v>
      </c>
      <c r="D2">
        <v>304.3</v>
      </c>
      <c r="E2">
        <v>14.6</v>
      </c>
      <c r="F2" t="s">
        <v>95</v>
      </c>
    </row>
    <row r="3" spans="1:6" x14ac:dyDescent="0.35">
      <c r="A3" s="13">
        <v>0.67708333333333337</v>
      </c>
      <c r="B3">
        <v>159.6</v>
      </c>
      <c r="C3">
        <v>-22.9</v>
      </c>
      <c r="D3">
        <v>301.8</v>
      </c>
      <c r="E3">
        <v>12</v>
      </c>
      <c r="F3" t="s">
        <v>95</v>
      </c>
    </row>
    <row r="4" spans="1:6" x14ac:dyDescent="0.35">
      <c r="A4" s="13">
        <v>0.6875</v>
      </c>
      <c r="B4">
        <v>156.30000000000001</v>
      </c>
      <c r="C4">
        <v>-21.8</v>
      </c>
      <c r="D4">
        <v>299.3</v>
      </c>
      <c r="E4">
        <v>9.4</v>
      </c>
      <c r="F4" t="s">
        <v>95</v>
      </c>
    </row>
    <row r="5" spans="1:6" x14ac:dyDescent="0.35">
      <c r="A5" s="13">
        <v>0.69791666666666663</v>
      </c>
      <c r="B5">
        <v>153.1</v>
      </c>
      <c r="C5">
        <v>-20.399999999999999</v>
      </c>
      <c r="D5">
        <v>297</v>
      </c>
      <c r="E5">
        <v>6.7</v>
      </c>
      <c r="F5" t="s">
        <v>95</v>
      </c>
    </row>
    <row r="6" spans="1:6" x14ac:dyDescent="0.35">
      <c r="A6" s="13">
        <v>0.70833333333333337</v>
      </c>
      <c r="B6">
        <v>149.9</v>
      </c>
      <c r="C6">
        <v>-19</v>
      </c>
      <c r="D6">
        <v>294.7</v>
      </c>
      <c r="E6">
        <v>3.9</v>
      </c>
      <c r="F6" t="s">
        <v>95</v>
      </c>
    </row>
    <row r="7" spans="1:6" x14ac:dyDescent="0.35">
      <c r="A7" s="13">
        <v>0.71875</v>
      </c>
      <c r="B7">
        <v>146.9</v>
      </c>
      <c r="C7">
        <v>-17.399999999999999</v>
      </c>
      <c r="D7">
        <v>292.5</v>
      </c>
      <c r="E7">
        <v>1.1000000000000001</v>
      </c>
      <c r="F7" t="s">
        <v>95</v>
      </c>
    </row>
    <row r="8" spans="1:6" x14ac:dyDescent="0.35">
      <c r="A8" s="13">
        <v>0.72916666666666663</v>
      </c>
      <c r="B8">
        <v>144</v>
      </c>
      <c r="C8">
        <v>-15.6</v>
      </c>
      <c r="D8">
        <v>290.39999999999998</v>
      </c>
      <c r="E8">
        <v>-1.8</v>
      </c>
      <c r="F8" t="s">
        <v>95</v>
      </c>
    </row>
    <row r="9" spans="1:6" x14ac:dyDescent="0.35">
      <c r="A9" s="13">
        <v>0.73958333333333337</v>
      </c>
      <c r="B9">
        <v>141.19999999999999</v>
      </c>
      <c r="C9">
        <v>-13.7</v>
      </c>
      <c r="D9">
        <v>288.3</v>
      </c>
      <c r="E9">
        <v>-4.7</v>
      </c>
      <c r="F9" t="s">
        <v>95</v>
      </c>
    </row>
    <row r="10" spans="1:6" x14ac:dyDescent="0.35">
      <c r="A10" s="13">
        <v>0.75</v>
      </c>
      <c r="B10">
        <v>138.5</v>
      </c>
      <c r="C10">
        <v>-11.7</v>
      </c>
      <c r="D10">
        <v>286.2</v>
      </c>
      <c r="E10">
        <v>-7.6</v>
      </c>
      <c r="F10" t="s">
        <v>95</v>
      </c>
    </row>
    <row r="11" spans="1:6" x14ac:dyDescent="0.35">
      <c r="A11" s="13">
        <v>0.76041666666666663</v>
      </c>
      <c r="B11">
        <v>136</v>
      </c>
      <c r="C11">
        <v>-9.6999999999999993</v>
      </c>
      <c r="D11">
        <v>284.2</v>
      </c>
      <c r="E11">
        <v>-10.6</v>
      </c>
      <c r="F11" t="s">
        <v>95</v>
      </c>
    </row>
    <row r="12" spans="1:6" x14ac:dyDescent="0.35">
      <c r="A12" s="13">
        <v>0.77083333333333337</v>
      </c>
      <c r="B12">
        <v>133.5</v>
      </c>
      <c r="C12">
        <v>-7.5</v>
      </c>
      <c r="D12">
        <v>282.2</v>
      </c>
      <c r="E12">
        <v>-13.6</v>
      </c>
      <c r="F12" t="s">
        <v>95</v>
      </c>
    </row>
    <row r="13" spans="1:6" x14ac:dyDescent="0.35">
      <c r="A13" s="13">
        <v>0.78125</v>
      </c>
      <c r="B13">
        <v>131.1</v>
      </c>
      <c r="C13">
        <v>-5.2</v>
      </c>
      <c r="D13">
        <v>280.3</v>
      </c>
      <c r="E13">
        <v>-16.600000000000001</v>
      </c>
      <c r="F13" t="s">
        <v>95</v>
      </c>
    </row>
    <row r="14" spans="1:6" x14ac:dyDescent="0.35">
      <c r="A14" s="13">
        <v>0.79166666666666663</v>
      </c>
      <c r="B14">
        <v>128.80000000000001</v>
      </c>
      <c r="C14">
        <v>-2.8</v>
      </c>
      <c r="D14">
        <v>278.3</v>
      </c>
      <c r="E14">
        <v>-19.600000000000001</v>
      </c>
      <c r="F14" t="s">
        <v>95</v>
      </c>
    </row>
    <row r="15" spans="1:6" x14ac:dyDescent="0.35">
      <c r="A15" s="13">
        <v>0.80208333333333337</v>
      </c>
      <c r="B15">
        <v>126.6</v>
      </c>
      <c r="C15">
        <v>-0.4</v>
      </c>
      <c r="D15">
        <v>276.3</v>
      </c>
      <c r="E15">
        <v>-22.7</v>
      </c>
      <c r="F15" t="s">
        <v>95</v>
      </c>
    </row>
    <row r="16" spans="1:6" x14ac:dyDescent="0.35">
      <c r="A16" s="13">
        <v>0.8125</v>
      </c>
      <c r="B16">
        <v>124.5</v>
      </c>
      <c r="C16">
        <v>2.1</v>
      </c>
      <c r="D16">
        <v>274.3</v>
      </c>
      <c r="E16">
        <v>-25.8</v>
      </c>
      <c r="F16" t="s">
        <v>96</v>
      </c>
    </row>
    <row r="17" spans="1:6" x14ac:dyDescent="0.35">
      <c r="A17" s="13">
        <v>0.82291666666666663</v>
      </c>
      <c r="B17">
        <v>122.4</v>
      </c>
      <c r="C17">
        <v>4.7</v>
      </c>
      <c r="D17">
        <v>272.2</v>
      </c>
      <c r="E17">
        <v>-28.8</v>
      </c>
      <c r="F17" t="s">
        <v>96</v>
      </c>
    </row>
    <row r="18" spans="1:6" x14ac:dyDescent="0.35">
      <c r="A18" s="13">
        <v>0.83333333333333337</v>
      </c>
      <c r="B18">
        <v>120.4</v>
      </c>
      <c r="C18">
        <v>7.3</v>
      </c>
      <c r="D18">
        <v>270.10000000000002</v>
      </c>
      <c r="E18">
        <v>-31.9</v>
      </c>
      <c r="F18" t="s">
        <v>96</v>
      </c>
    </row>
    <row r="19" spans="1:6" x14ac:dyDescent="0.35">
      <c r="A19" s="13">
        <v>0.84375</v>
      </c>
      <c r="B19">
        <v>118.5</v>
      </c>
      <c r="C19">
        <v>10</v>
      </c>
      <c r="D19">
        <v>267.89999999999998</v>
      </c>
      <c r="E19">
        <v>-35</v>
      </c>
      <c r="F19" t="s">
        <v>96</v>
      </c>
    </row>
    <row r="20" spans="1:6" x14ac:dyDescent="0.35">
      <c r="A20" s="13">
        <v>0.85416666666666663</v>
      </c>
      <c r="B20">
        <v>116.6</v>
      </c>
      <c r="C20">
        <v>12.8</v>
      </c>
      <c r="D20">
        <v>265.60000000000002</v>
      </c>
      <c r="E20">
        <v>-38</v>
      </c>
      <c r="F20" t="s">
        <v>96</v>
      </c>
    </row>
    <row r="21" spans="1:6" x14ac:dyDescent="0.35">
      <c r="A21" s="13">
        <v>0.86458333333333337</v>
      </c>
      <c r="B21">
        <v>114.8</v>
      </c>
      <c r="C21">
        <v>15.5</v>
      </c>
      <c r="D21">
        <v>263.3</v>
      </c>
      <c r="E21">
        <v>-41.1</v>
      </c>
      <c r="F21" t="s">
        <v>96</v>
      </c>
    </row>
    <row r="22" spans="1:6" x14ac:dyDescent="0.35">
      <c r="A22" s="13">
        <v>0.875</v>
      </c>
      <c r="B22">
        <v>113.1</v>
      </c>
      <c r="C22">
        <v>18.3</v>
      </c>
      <c r="D22">
        <v>260.7</v>
      </c>
      <c r="E22">
        <v>-44.2</v>
      </c>
      <c r="F22" t="s">
        <v>96</v>
      </c>
    </row>
    <row r="23" spans="1:6" x14ac:dyDescent="0.35">
      <c r="A23" s="13">
        <v>0.88541666666666663</v>
      </c>
      <c r="B23">
        <v>111.3</v>
      </c>
      <c r="C23">
        <v>21.2</v>
      </c>
      <c r="D23">
        <v>258</v>
      </c>
      <c r="E23">
        <v>-47.2</v>
      </c>
      <c r="F23" t="s">
        <v>96</v>
      </c>
    </row>
    <row r="24" spans="1:6" x14ac:dyDescent="0.35">
      <c r="A24" s="13">
        <v>0.89583333333333337</v>
      </c>
      <c r="B24">
        <v>109.6</v>
      </c>
      <c r="C24">
        <v>24.1</v>
      </c>
      <c r="D24">
        <v>255</v>
      </c>
      <c r="E24">
        <v>-50.2</v>
      </c>
      <c r="F24" t="s">
        <v>96</v>
      </c>
    </row>
    <row r="25" spans="1:6" x14ac:dyDescent="0.35">
      <c r="A25" s="13">
        <v>0.90625</v>
      </c>
      <c r="B25">
        <v>107.9</v>
      </c>
      <c r="C25">
        <v>27</v>
      </c>
      <c r="D25">
        <v>251.8</v>
      </c>
      <c r="E25">
        <v>-53.1</v>
      </c>
      <c r="F25" t="s">
        <v>96</v>
      </c>
    </row>
    <row r="26" spans="1:6" x14ac:dyDescent="0.35">
      <c r="A26" s="13">
        <v>0.91666666666666663</v>
      </c>
      <c r="B26">
        <v>106.3</v>
      </c>
      <c r="C26">
        <v>30</v>
      </c>
      <c r="D26">
        <v>248.1</v>
      </c>
      <c r="E26">
        <v>-56</v>
      </c>
      <c r="F26" t="s">
        <v>96</v>
      </c>
    </row>
    <row r="27" spans="1:6" x14ac:dyDescent="0.35">
      <c r="A27" s="13">
        <v>0.92708333333333337</v>
      </c>
      <c r="B27">
        <v>104.6</v>
      </c>
      <c r="C27">
        <v>32.9</v>
      </c>
      <c r="D27">
        <v>244.1</v>
      </c>
      <c r="E27">
        <v>-58.8</v>
      </c>
      <c r="F27" t="s">
        <v>96</v>
      </c>
    </row>
    <row r="28" spans="1:6" x14ac:dyDescent="0.35">
      <c r="A28" s="13">
        <v>0.9375</v>
      </c>
      <c r="B28">
        <v>103</v>
      </c>
      <c r="C28">
        <v>35.9</v>
      </c>
      <c r="D28">
        <v>239.4</v>
      </c>
      <c r="E28">
        <v>-61.5</v>
      </c>
      <c r="F28" t="s">
        <v>96</v>
      </c>
    </row>
    <row r="29" spans="1:6" x14ac:dyDescent="0.35">
      <c r="A29" s="13">
        <v>0.94791666666666663</v>
      </c>
      <c r="B29">
        <v>101.3</v>
      </c>
      <c r="C29">
        <v>38.9</v>
      </c>
      <c r="D29">
        <v>233.9</v>
      </c>
      <c r="E29">
        <v>-64.099999999999994</v>
      </c>
      <c r="F29" t="s">
        <v>96</v>
      </c>
    </row>
    <row r="30" spans="1:6" x14ac:dyDescent="0.35">
      <c r="A30" s="13">
        <v>0.95833333333333337</v>
      </c>
      <c r="B30">
        <v>99.6</v>
      </c>
      <c r="C30">
        <v>42</v>
      </c>
      <c r="D30">
        <v>227.6</v>
      </c>
      <c r="E30">
        <v>-66.5</v>
      </c>
      <c r="F30" t="s">
        <v>96</v>
      </c>
    </row>
    <row r="31" spans="1:6" x14ac:dyDescent="0.35">
      <c r="A31" s="13">
        <v>0.96875</v>
      </c>
      <c r="B31">
        <v>97.9</v>
      </c>
      <c r="C31">
        <v>45</v>
      </c>
      <c r="D31">
        <v>220</v>
      </c>
      <c r="E31">
        <v>-68.599999999999994</v>
      </c>
      <c r="F31" t="s">
        <v>96</v>
      </c>
    </row>
    <row r="32" spans="1:6" x14ac:dyDescent="0.35">
      <c r="A32" s="13">
        <v>0.97916666666666663</v>
      </c>
      <c r="B32">
        <v>96.2</v>
      </c>
      <c r="C32">
        <v>48.1</v>
      </c>
      <c r="D32">
        <v>211.2</v>
      </c>
      <c r="E32">
        <v>-70.400000000000006</v>
      </c>
      <c r="F32" t="s">
        <v>96</v>
      </c>
    </row>
    <row r="33" spans="1:6" x14ac:dyDescent="0.35">
      <c r="A33" s="13">
        <v>0.98958333333333337</v>
      </c>
      <c r="B33">
        <v>94.4</v>
      </c>
      <c r="C33">
        <v>51.1</v>
      </c>
      <c r="D33">
        <v>201</v>
      </c>
      <c r="E33">
        <v>-71.8</v>
      </c>
      <c r="F33" t="s">
        <v>96</v>
      </c>
    </row>
    <row r="34" spans="1:6" x14ac:dyDescent="0.35">
      <c r="A34" s="13">
        <v>0</v>
      </c>
      <c r="B34">
        <v>92.4</v>
      </c>
      <c r="C34">
        <v>54.2</v>
      </c>
      <c r="D34">
        <v>189.6</v>
      </c>
      <c r="E34">
        <v>-72.599999999999994</v>
      </c>
      <c r="F34" t="s">
        <v>96</v>
      </c>
    </row>
    <row r="35" spans="1:6" x14ac:dyDescent="0.35">
      <c r="A35" s="13">
        <v>1.0416666666666666E-2</v>
      </c>
      <c r="B35">
        <v>90.4</v>
      </c>
      <c r="C35">
        <v>57.3</v>
      </c>
      <c r="D35">
        <v>177.6</v>
      </c>
      <c r="E35">
        <v>-72.8</v>
      </c>
      <c r="F35" t="s">
        <v>96</v>
      </c>
    </row>
    <row r="36" spans="1:6" x14ac:dyDescent="0.35">
      <c r="A36" s="13">
        <v>2.0833333333333332E-2</v>
      </c>
      <c r="B36">
        <v>88.2</v>
      </c>
      <c r="C36">
        <v>60.4</v>
      </c>
      <c r="D36">
        <v>165.7</v>
      </c>
      <c r="E36">
        <v>-72.3</v>
      </c>
      <c r="F36" t="s">
        <v>96</v>
      </c>
    </row>
    <row r="37" spans="1:6" x14ac:dyDescent="0.35">
      <c r="A37" s="13">
        <v>3.125E-2</v>
      </c>
      <c r="B37">
        <v>85.7</v>
      </c>
      <c r="C37">
        <v>63.5</v>
      </c>
      <c r="D37">
        <v>154.80000000000001</v>
      </c>
      <c r="E37">
        <v>-71.3</v>
      </c>
      <c r="F37" t="s">
        <v>96</v>
      </c>
    </row>
    <row r="38" spans="1:6" x14ac:dyDescent="0.35">
      <c r="A38" s="13">
        <v>4.1666666666666664E-2</v>
      </c>
      <c r="B38">
        <v>82.9</v>
      </c>
      <c r="C38">
        <v>66.5</v>
      </c>
      <c r="D38">
        <v>145.1</v>
      </c>
      <c r="E38">
        <v>-69.8</v>
      </c>
      <c r="F38" t="s">
        <v>96</v>
      </c>
    </row>
    <row r="39" spans="1:6" x14ac:dyDescent="0.35">
      <c r="A39" s="13">
        <v>5.2083333333333336E-2</v>
      </c>
      <c r="B39">
        <v>79.599999999999994</v>
      </c>
      <c r="C39">
        <v>69.599999999999994</v>
      </c>
      <c r="D39">
        <v>136.80000000000001</v>
      </c>
      <c r="E39">
        <v>-67.8</v>
      </c>
      <c r="F39" t="s">
        <v>96</v>
      </c>
    </row>
    <row r="40" spans="1:6" x14ac:dyDescent="0.35">
      <c r="A40" s="13">
        <v>6.25E-2</v>
      </c>
      <c r="B40">
        <v>75.5</v>
      </c>
      <c r="C40">
        <v>72.599999999999994</v>
      </c>
      <c r="D40">
        <v>129.69999999999999</v>
      </c>
      <c r="E40">
        <v>-65.599999999999994</v>
      </c>
      <c r="F40" t="s">
        <v>96</v>
      </c>
    </row>
    <row r="41" spans="1:6" x14ac:dyDescent="0.35">
      <c r="A41" s="13">
        <v>7.2916666666666671E-2</v>
      </c>
      <c r="B41">
        <v>70.2</v>
      </c>
      <c r="C41">
        <v>75.5</v>
      </c>
      <c r="D41">
        <v>123.7</v>
      </c>
      <c r="E41">
        <v>-63.1</v>
      </c>
      <c r="F41" t="s">
        <v>96</v>
      </c>
    </row>
    <row r="42" spans="1:6" x14ac:dyDescent="0.35">
      <c r="A42" s="13">
        <v>8.3333333333333329E-2</v>
      </c>
      <c r="B42">
        <v>62.7</v>
      </c>
      <c r="C42">
        <v>78.400000000000006</v>
      </c>
      <c r="D42">
        <v>118.6</v>
      </c>
      <c r="E42">
        <v>-60.5</v>
      </c>
      <c r="F42" t="s">
        <v>96</v>
      </c>
    </row>
    <row r="43" spans="1:6" x14ac:dyDescent="0.35">
      <c r="A43" s="13">
        <v>9.375E-2</v>
      </c>
      <c r="B43">
        <v>51.3</v>
      </c>
      <c r="C43">
        <v>81</v>
      </c>
      <c r="D43">
        <v>114.2</v>
      </c>
      <c r="E43">
        <v>-57.7</v>
      </c>
      <c r="F43" t="s">
        <v>96</v>
      </c>
    </row>
    <row r="44" spans="1:6" x14ac:dyDescent="0.35">
      <c r="A44" s="13">
        <v>0.10416666666666667</v>
      </c>
      <c r="B44">
        <v>32.9</v>
      </c>
      <c r="C44">
        <v>83</v>
      </c>
      <c r="D44">
        <v>110.3</v>
      </c>
      <c r="E44">
        <v>-54.9</v>
      </c>
      <c r="F44" t="s">
        <v>96</v>
      </c>
    </row>
    <row r="45" spans="1:6" x14ac:dyDescent="0.35">
      <c r="A45" s="13">
        <v>0.11458333333333333</v>
      </c>
      <c r="B45">
        <v>4.5999999999999996</v>
      </c>
      <c r="C45">
        <v>84.1</v>
      </c>
      <c r="D45">
        <v>106.8</v>
      </c>
      <c r="E45">
        <v>-52</v>
      </c>
      <c r="F45" t="s">
        <v>96</v>
      </c>
    </row>
    <row r="46" spans="1:6" x14ac:dyDescent="0.35">
      <c r="A46" s="13">
        <v>0.125</v>
      </c>
      <c r="B46">
        <v>334.4</v>
      </c>
      <c r="C46">
        <v>83.5</v>
      </c>
      <c r="D46">
        <v>103.7</v>
      </c>
      <c r="E46">
        <v>-49</v>
      </c>
      <c r="F46" t="s">
        <v>96</v>
      </c>
    </row>
    <row r="47" spans="1:6" x14ac:dyDescent="0.35">
      <c r="A47" s="13">
        <v>0.13541666666666666</v>
      </c>
      <c r="B47">
        <v>313.10000000000002</v>
      </c>
      <c r="C47">
        <v>81.599999999999994</v>
      </c>
      <c r="D47">
        <v>100.8</v>
      </c>
      <c r="E47">
        <v>-46</v>
      </c>
      <c r="F47" t="s">
        <v>96</v>
      </c>
    </row>
    <row r="48" spans="1:6" x14ac:dyDescent="0.35">
      <c r="A48" s="13">
        <v>0.14583333333333334</v>
      </c>
      <c r="B48">
        <v>300.10000000000002</v>
      </c>
      <c r="C48">
        <v>79.099999999999994</v>
      </c>
      <c r="D48">
        <v>98.2</v>
      </c>
      <c r="E48">
        <v>-43</v>
      </c>
      <c r="F48" t="s">
        <v>96</v>
      </c>
    </row>
    <row r="49" spans="1:6" x14ac:dyDescent="0.35">
      <c r="A49" s="13">
        <v>0.15625</v>
      </c>
      <c r="B49">
        <v>291.7</v>
      </c>
      <c r="C49">
        <v>76.400000000000006</v>
      </c>
      <c r="D49">
        <v>95.7</v>
      </c>
      <c r="E49">
        <v>-39.9</v>
      </c>
      <c r="F49" t="s">
        <v>96</v>
      </c>
    </row>
    <row r="50" spans="1:6" x14ac:dyDescent="0.35">
      <c r="A50" s="13">
        <v>0.16666666666666666</v>
      </c>
      <c r="B50">
        <v>285.89999999999998</v>
      </c>
      <c r="C50">
        <v>73.5</v>
      </c>
      <c r="D50">
        <v>93.4</v>
      </c>
      <c r="E50">
        <v>-36.9</v>
      </c>
      <c r="F50" t="s">
        <v>96</v>
      </c>
    </row>
    <row r="51" spans="1:6" x14ac:dyDescent="0.35">
      <c r="A51" s="13">
        <v>0.17708333333333334</v>
      </c>
      <c r="B51">
        <v>281.5</v>
      </c>
      <c r="C51">
        <v>70.5</v>
      </c>
      <c r="D51">
        <v>91.1</v>
      </c>
      <c r="E51">
        <v>-33.799999999999997</v>
      </c>
      <c r="F51" t="s">
        <v>96</v>
      </c>
    </row>
    <row r="52" spans="1:6" x14ac:dyDescent="0.35">
      <c r="A52" s="13">
        <v>0.1875</v>
      </c>
      <c r="B52">
        <v>278</v>
      </c>
      <c r="C52">
        <v>67.400000000000006</v>
      </c>
      <c r="D52">
        <v>89</v>
      </c>
      <c r="E52">
        <v>-30.7</v>
      </c>
      <c r="F52" t="s">
        <v>96</v>
      </c>
    </row>
    <row r="53" spans="1:6" x14ac:dyDescent="0.35">
      <c r="A53" s="13">
        <v>0.19791666666666666</v>
      </c>
      <c r="B53">
        <v>275</v>
      </c>
      <c r="C53">
        <v>64.400000000000006</v>
      </c>
      <c r="D53">
        <v>86.9</v>
      </c>
      <c r="E53">
        <v>-27.7</v>
      </c>
      <c r="F53" t="s">
        <v>96</v>
      </c>
    </row>
    <row r="54" spans="1:6" x14ac:dyDescent="0.35">
      <c r="A54" s="13">
        <v>0.20833333333333334</v>
      </c>
      <c r="B54">
        <v>272.5</v>
      </c>
      <c r="C54">
        <v>61.3</v>
      </c>
      <c r="D54">
        <v>84.8</v>
      </c>
      <c r="E54">
        <v>-24.6</v>
      </c>
      <c r="F54" t="s">
        <v>96</v>
      </c>
    </row>
    <row r="55" spans="1:6" x14ac:dyDescent="0.35">
      <c r="A55" s="13">
        <v>0.21875</v>
      </c>
      <c r="B55">
        <v>270.2</v>
      </c>
      <c r="C55">
        <v>58.2</v>
      </c>
      <c r="D55">
        <v>82.8</v>
      </c>
      <c r="E55">
        <v>-21.5</v>
      </c>
      <c r="F55" t="s">
        <v>96</v>
      </c>
    </row>
    <row r="56" spans="1:6" x14ac:dyDescent="0.35">
      <c r="A56" s="13">
        <v>0.22916666666666666</v>
      </c>
      <c r="B56">
        <v>268.10000000000002</v>
      </c>
      <c r="C56">
        <v>55.1</v>
      </c>
      <c r="D56">
        <v>80.8</v>
      </c>
      <c r="E56">
        <v>-18.5</v>
      </c>
      <c r="F56" t="s">
        <v>96</v>
      </c>
    </row>
    <row r="57" spans="1:6" x14ac:dyDescent="0.35">
      <c r="A57" s="13">
        <v>0.23958333333333334</v>
      </c>
      <c r="B57">
        <v>266.2</v>
      </c>
      <c r="C57">
        <v>52</v>
      </c>
      <c r="D57">
        <v>78.900000000000006</v>
      </c>
      <c r="E57">
        <v>-15.5</v>
      </c>
      <c r="F57" t="s">
        <v>96</v>
      </c>
    </row>
    <row r="58" spans="1:6" x14ac:dyDescent="0.35">
      <c r="A58" s="13">
        <v>0.25</v>
      </c>
      <c r="B58">
        <v>264.3</v>
      </c>
      <c r="C58">
        <v>49</v>
      </c>
      <c r="D58">
        <v>76.900000000000006</v>
      </c>
      <c r="E58">
        <v>-12.5</v>
      </c>
      <c r="F58" t="s">
        <v>96</v>
      </c>
    </row>
    <row r="59" spans="1:6" x14ac:dyDescent="0.35">
      <c r="A59" s="13">
        <v>0.26041666666666669</v>
      </c>
      <c r="B59">
        <v>262.60000000000002</v>
      </c>
      <c r="C59">
        <v>45.9</v>
      </c>
      <c r="D59">
        <v>74.900000000000006</v>
      </c>
      <c r="E59">
        <v>-9.5</v>
      </c>
      <c r="F59" t="s">
        <v>96</v>
      </c>
    </row>
    <row r="60" spans="1:6" x14ac:dyDescent="0.35">
      <c r="A60" s="13">
        <v>0.27083333333333331</v>
      </c>
      <c r="B60">
        <v>260.89999999999998</v>
      </c>
      <c r="C60">
        <v>42.9</v>
      </c>
      <c r="D60">
        <v>72.8</v>
      </c>
      <c r="E60">
        <v>-6.5</v>
      </c>
      <c r="F60" t="s">
        <v>96</v>
      </c>
    </row>
    <row r="61" spans="1:6" x14ac:dyDescent="0.35">
      <c r="A61" s="13">
        <v>0.28125</v>
      </c>
      <c r="B61">
        <v>259.2</v>
      </c>
      <c r="C61">
        <v>39.799999999999997</v>
      </c>
      <c r="D61">
        <v>70.8</v>
      </c>
      <c r="E61">
        <v>-3.6</v>
      </c>
      <c r="F61" t="s">
        <v>96</v>
      </c>
    </row>
    <row r="62" spans="1:6" x14ac:dyDescent="0.35">
      <c r="A62" s="13">
        <v>0.29166666666666669</v>
      </c>
      <c r="B62">
        <v>257.5</v>
      </c>
      <c r="C62">
        <v>36.799999999999997</v>
      </c>
      <c r="D62">
        <v>68.7</v>
      </c>
      <c r="E62">
        <v>-0.7</v>
      </c>
      <c r="F62" t="s">
        <v>96</v>
      </c>
    </row>
    <row r="63" spans="1:6" x14ac:dyDescent="0.35">
      <c r="A63" s="13">
        <v>0.30208333333333331</v>
      </c>
      <c r="B63">
        <v>255.9</v>
      </c>
      <c r="C63">
        <v>33.799999999999997</v>
      </c>
      <c r="D63">
        <v>66.5</v>
      </c>
      <c r="E63">
        <v>2.1</v>
      </c>
      <c r="F63" t="s">
        <v>96</v>
      </c>
    </row>
    <row r="64" spans="1:6" x14ac:dyDescent="0.35">
      <c r="A64" s="13">
        <v>0.3125</v>
      </c>
      <c r="B64">
        <v>254.2</v>
      </c>
      <c r="C64">
        <v>30.8</v>
      </c>
      <c r="D64">
        <v>64.3</v>
      </c>
      <c r="E64">
        <v>4.9000000000000004</v>
      </c>
      <c r="F64" t="s">
        <v>96</v>
      </c>
    </row>
    <row r="65" spans="1:6" x14ac:dyDescent="0.35">
      <c r="A65" s="13">
        <v>0.32291666666666669</v>
      </c>
      <c r="B65">
        <v>252.6</v>
      </c>
      <c r="C65">
        <v>27.9</v>
      </c>
      <c r="D65">
        <v>62</v>
      </c>
      <c r="E65">
        <v>7.6</v>
      </c>
      <c r="F65" t="s">
        <v>96</v>
      </c>
    </row>
    <row r="66" spans="1:6" x14ac:dyDescent="0.35">
      <c r="A66" s="13">
        <v>0.33333333333333331</v>
      </c>
      <c r="B66">
        <v>250.9</v>
      </c>
      <c r="C66">
        <v>24.9</v>
      </c>
      <c r="D66">
        <v>59.6</v>
      </c>
      <c r="E66">
        <v>10.3</v>
      </c>
      <c r="F66" t="s">
        <v>96</v>
      </c>
    </row>
    <row r="67" spans="1:6" x14ac:dyDescent="0.35">
      <c r="A67" s="13">
        <v>0.34375</v>
      </c>
      <c r="B67">
        <v>249.2</v>
      </c>
      <c r="C67">
        <v>22</v>
      </c>
      <c r="D67">
        <v>57.1</v>
      </c>
      <c r="E67">
        <v>12.9</v>
      </c>
      <c r="F67" t="s">
        <v>96</v>
      </c>
    </row>
    <row r="68" spans="1:6" x14ac:dyDescent="0.35">
      <c r="A68" s="13">
        <v>0.35416666666666669</v>
      </c>
      <c r="B68">
        <v>247.5</v>
      </c>
      <c r="C68">
        <v>19.2</v>
      </c>
      <c r="D68">
        <v>54.5</v>
      </c>
      <c r="E68">
        <v>15.5</v>
      </c>
      <c r="F68" t="s">
        <v>96</v>
      </c>
    </row>
    <row r="69" spans="1:6" x14ac:dyDescent="0.35">
      <c r="A69" s="13">
        <v>0.36458333333333331</v>
      </c>
      <c r="B69">
        <v>245.7</v>
      </c>
      <c r="C69">
        <v>16.3</v>
      </c>
      <c r="D69">
        <v>51.8</v>
      </c>
      <c r="E69">
        <v>17.899999999999999</v>
      </c>
      <c r="F69" t="s">
        <v>96</v>
      </c>
    </row>
    <row r="70" spans="1:6" x14ac:dyDescent="0.35">
      <c r="A70" s="13">
        <v>0.375</v>
      </c>
      <c r="B70">
        <v>243.9</v>
      </c>
      <c r="C70">
        <v>13.6</v>
      </c>
      <c r="D70">
        <v>49</v>
      </c>
      <c r="E70">
        <v>20.3</v>
      </c>
      <c r="F70" t="s">
        <v>96</v>
      </c>
    </row>
    <row r="71" spans="1:6" x14ac:dyDescent="0.35">
      <c r="A71" s="13">
        <v>0.38541666666666669</v>
      </c>
      <c r="B71">
        <v>242</v>
      </c>
      <c r="C71">
        <v>10.8</v>
      </c>
      <c r="D71">
        <v>46</v>
      </c>
      <c r="E71">
        <v>22.6</v>
      </c>
      <c r="F71" t="s">
        <v>96</v>
      </c>
    </row>
    <row r="72" spans="1:6" x14ac:dyDescent="0.35">
      <c r="A72" s="13">
        <v>0.39583333333333331</v>
      </c>
      <c r="B72">
        <v>240.1</v>
      </c>
      <c r="C72">
        <v>8.1</v>
      </c>
      <c r="D72">
        <v>42.9</v>
      </c>
      <c r="E72">
        <v>24.7</v>
      </c>
      <c r="F72" t="s">
        <v>96</v>
      </c>
    </row>
    <row r="73" spans="1:6" x14ac:dyDescent="0.35">
      <c r="A73" s="13">
        <v>0.40625</v>
      </c>
      <c r="B73">
        <v>238.2</v>
      </c>
      <c r="C73">
        <v>5.5</v>
      </c>
      <c r="D73">
        <v>39.6</v>
      </c>
      <c r="E73">
        <v>26.7</v>
      </c>
      <c r="F73" t="s">
        <v>96</v>
      </c>
    </row>
    <row r="74" spans="1:6" x14ac:dyDescent="0.35">
      <c r="A74" s="13">
        <v>0.41666666666666669</v>
      </c>
      <c r="B74">
        <v>236.1</v>
      </c>
      <c r="C74">
        <v>2.9</v>
      </c>
      <c r="D74">
        <v>36.200000000000003</v>
      </c>
      <c r="E74">
        <v>28.6</v>
      </c>
      <c r="F74" t="s">
        <v>96</v>
      </c>
    </row>
    <row r="75" spans="1:6" x14ac:dyDescent="0.35">
      <c r="A75" s="13">
        <v>0.42708333333333331</v>
      </c>
      <c r="B75">
        <v>234</v>
      </c>
      <c r="C75">
        <v>0.3</v>
      </c>
      <c r="D75">
        <v>32.6</v>
      </c>
      <c r="E75">
        <v>30.4</v>
      </c>
      <c r="F75" t="s">
        <v>96</v>
      </c>
    </row>
    <row r="76" spans="1:6" x14ac:dyDescent="0.35">
      <c r="A76" s="13">
        <v>0.4375</v>
      </c>
      <c r="B76">
        <v>231.9</v>
      </c>
      <c r="C76">
        <v>-2.1</v>
      </c>
      <c r="D76">
        <v>28.9</v>
      </c>
      <c r="E76">
        <v>31.9</v>
      </c>
      <c r="F76" t="s">
        <v>95</v>
      </c>
    </row>
    <row r="77" spans="1:6" x14ac:dyDescent="0.35">
      <c r="A77" s="13">
        <v>0.44791666666666669</v>
      </c>
      <c r="B77">
        <v>229.6</v>
      </c>
      <c r="C77">
        <v>-4.5</v>
      </c>
      <c r="D77">
        <v>25</v>
      </c>
      <c r="E77">
        <v>33.299999999999997</v>
      </c>
      <c r="F77" t="s">
        <v>95</v>
      </c>
    </row>
    <row r="78" spans="1:6" x14ac:dyDescent="0.35">
      <c r="A78" s="13">
        <v>0.45833333333333331</v>
      </c>
      <c r="B78">
        <v>227.2</v>
      </c>
      <c r="C78">
        <v>-6.8</v>
      </c>
      <c r="D78">
        <v>20.9</v>
      </c>
      <c r="E78">
        <v>34.5</v>
      </c>
      <c r="F78" t="s">
        <v>95</v>
      </c>
    </row>
    <row r="79" spans="1:6" x14ac:dyDescent="0.35">
      <c r="A79" s="13">
        <v>0.46875</v>
      </c>
      <c r="B79">
        <v>224.8</v>
      </c>
      <c r="C79">
        <v>-9</v>
      </c>
      <c r="D79">
        <v>16.7</v>
      </c>
      <c r="E79">
        <v>35.5</v>
      </c>
      <c r="F79" t="s">
        <v>95</v>
      </c>
    </row>
    <row r="80" spans="1:6" x14ac:dyDescent="0.35">
      <c r="A80" s="13">
        <v>0.47916666666666669</v>
      </c>
      <c r="B80">
        <v>222.2</v>
      </c>
      <c r="C80">
        <v>-11.1</v>
      </c>
      <c r="D80">
        <v>12.4</v>
      </c>
      <c r="E80">
        <v>36.299999999999997</v>
      </c>
      <c r="F80" t="s">
        <v>95</v>
      </c>
    </row>
    <row r="81" spans="1:6" x14ac:dyDescent="0.35">
      <c r="A81" s="13">
        <v>0.48958333333333331</v>
      </c>
      <c r="B81">
        <v>219.6</v>
      </c>
      <c r="C81">
        <v>-13.2</v>
      </c>
      <c r="D81">
        <v>8</v>
      </c>
      <c r="E81">
        <v>36.799999999999997</v>
      </c>
      <c r="F81" t="s">
        <v>95</v>
      </c>
    </row>
    <row r="82" spans="1:6" x14ac:dyDescent="0.35">
      <c r="A82" s="13">
        <v>0.5</v>
      </c>
      <c r="B82">
        <v>216.8</v>
      </c>
      <c r="C82">
        <v>-15.1</v>
      </c>
      <c r="D82">
        <v>3.6</v>
      </c>
      <c r="E82">
        <v>37.1</v>
      </c>
      <c r="F82" t="s">
        <v>95</v>
      </c>
    </row>
    <row r="83" spans="1:6" x14ac:dyDescent="0.35">
      <c r="A83" s="13">
        <v>0.51041666666666663</v>
      </c>
      <c r="B83">
        <v>213.9</v>
      </c>
      <c r="C83">
        <v>-16.899999999999999</v>
      </c>
      <c r="D83">
        <v>359.1</v>
      </c>
      <c r="E83">
        <v>37.200000000000003</v>
      </c>
      <c r="F83" t="s">
        <v>95</v>
      </c>
    </row>
    <row r="84" spans="1:6" x14ac:dyDescent="0.35">
      <c r="A84" s="13">
        <v>0.52083333333333337</v>
      </c>
      <c r="B84">
        <v>211</v>
      </c>
      <c r="C84">
        <v>-18.5</v>
      </c>
      <c r="D84">
        <v>354.6</v>
      </c>
      <c r="E84">
        <v>37</v>
      </c>
      <c r="F84" t="s">
        <v>95</v>
      </c>
    </row>
    <row r="85" spans="1:6" x14ac:dyDescent="0.35">
      <c r="A85" s="13">
        <v>0.53125</v>
      </c>
      <c r="B85">
        <v>207.9</v>
      </c>
      <c r="C85">
        <v>-20</v>
      </c>
      <c r="D85">
        <v>350.2</v>
      </c>
      <c r="E85">
        <v>36.6</v>
      </c>
      <c r="F85" t="s">
        <v>95</v>
      </c>
    </row>
    <row r="86" spans="1:6" x14ac:dyDescent="0.35">
      <c r="A86" s="13">
        <v>0.54166666666666663</v>
      </c>
      <c r="B86">
        <v>204.7</v>
      </c>
      <c r="C86">
        <v>-21.4</v>
      </c>
      <c r="D86">
        <v>345.8</v>
      </c>
      <c r="E86">
        <v>36</v>
      </c>
      <c r="F86" t="s">
        <v>95</v>
      </c>
    </row>
    <row r="87" spans="1:6" x14ac:dyDescent="0.35">
      <c r="A87" s="13">
        <v>0.55208333333333337</v>
      </c>
      <c r="B87">
        <v>201.4</v>
      </c>
      <c r="C87">
        <v>-22.6</v>
      </c>
      <c r="D87">
        <v>341.6</v>
      </c>
      <c r="E87">
        <v>35.1</v>
      </c>
      <c r="F87" t="s">
        <v>95</v>
      </c>
    </row>
    <row r="88" spans="1:6" x14ac:dyDescent="0.35">
      <c r="A88" s="13">
        <v>0.5625</v>
      </c>
      <c r="B88">
        <v>198</v>
      </c>
      <c r="C88">
        <v>-23.6</v>
      </c>
      <c r="D88">
        <v>337.5</v>
      </c>
      <c r="E88">
        <v>34</v>
      </c>
      <c r="F88" t="s">
        <v>95</v>
      </c>
    </row>
    <row r="89" spans="1:6" x14ac:dyDescent="0.35">
      <c r="A89" s="13">
        <v>0.57291666666666663</v>
      </c>
      <c r="B89">
        <v>194.5</v>
      </c>
      <c r="C89">
        <v>-24.5</v>
      </c>
      <c r="D89">
        <v>333.5</v>
      </c>
      <c r="E89">
        <v>32.799999999999997</v>
      </c>
      <c r="F89" t="s">
        <v>95</v>
      </c>
    </row>
    <row r="90" spans="1:6" x14ac:dyDescent="0.35">
      <c r="A90" s="13">
        <v>0.58333333333333337</v>
      </c>
      <c r="B90">
        <v>190.9</v>
      </c>
      <c r="C90">
        <v>-25.2</v>
      </c>
      <c r="D90">
        <v>329.6</v>
      </c>
      <c r="E90">
        <v>31.3</v>
      </c>
      <c r="F90" t="s">
        <v>95</v>
      </c>
    </row>
    <row r="91" spans="1:6" x14ac:dyDescent="0.35">
      <c r="A91" s="13">
        <v>0.59375</v>
      </c>
      <c r="B91">
        <v>187.3</v>
      </c>
      <c r="C91">
        <v>-25.7</v>
      </c>
      <c r="D91">
        <v>325.89999999999998</v>
      </c>
      <c r="E91">
        <v>29.7</v>
      </c>
      <c r="F91" t="s">
        <v>95</v>
      </c>
    </row>
    <row r="92" spans="1:6" x14ac:dyDescent="0.35">
      <c r="A92" s="13">
        <v>0.60416666666666663</v>
      </c>
      <c r="B92">
        <v>183.7</v>
      </c>
      <c r="C92">
        <v>-26</v>
      </c>
      <c r="D92">
        <v>322.39999999999998</v>
      </c>
      <c r="E92">
        <v>27.9</v>
      </c>
      <c r="F92" t="s">
        <v>95</v>
      </c>
    </row>
    <row r="93" spans="1:6" x14ac:dyDescent="0.35">
      <c r="A93" s="13">
        <v>0.61458333333333337</v>
      </c>
      <c r="B93">
        <v>180.1</v>
      </c>
      <c r="C93">
        <v>-26.1</v>
      </c>
      <c r="D93">
        <v>319.10000000000002</v>
      </c>
      <c r="E93">
        <v>25.9</v>
      </c>
      <c r="F93" t="s">
        <v>95</v>
      </c>
    </row>
    <row r="94" spans="1:6" x14ac:dyDescent="0.35">
      <c r="A94" s="13">
        <v>0.625</v>
      </c>
      <c r="B94">
        <v>176.4</v>
      </c>
      <c r="C94">
        <v>-26</v>
      </c>
      <c r="D94">
        <v>315.89999999999998</v>
      </c>
      <c r="E94">
        <v>23.8</v>
      </c>
      <c r="F94" t="s">
        <v>95</v>
      </c>
    </row>
    <row r="95" spans="1:6" x14ac:dyDescent="0.35">
      <c r="A95" s="13">
        <v>0.63541666666666663</v>
      </c>
      <c r="B95">
        <v>172.8</v>
      </c>
      <c r="C95">
        <v>-25.7</v>
      </c>
      <c r="D95">
        <v>312.8</v>
      </c>
      <c r="E95">
        <v>21.6</v>
      </c>
      <c r="F95" t="s">
        <v>95</v>
      </c>
    </row>
    <row r="96" spans="1:6" x14ac:dyDescent="0.35">
      <c r="A96" s="13">
        <v>0.64583333333333337</v>
      </c>
      <c r="B96">
        <v>169.2</v>
      </c>
      <c r="C96">
        <v>-25.2</v>
      </c>
      <c r="D96">
        <v>309.89999999999998</v>
      </c>
      <c r="E96">
        <v>19.3</v>
      </c>
      <c r="F96" t="s">
        <v>95</v>
      </c>
    </row>
    <row r="97" spans="1:6" x14ac:dyDescent="0.35">
      <c r="A97" s="13">
        <v>0.65625</v>
      </c>
      <c r="B97">
        <v>165.6</v>
      </c>
      <c r="C97">
        <v>-24.5</v>
      </c>
      <c r="D97">
        <v>307.2</v>
      </c>
      <c r="E97">
        <v>16.899999999999999</v>
      </c>
      <c r="F97" t="s">
        <v>95</v>
      </c>
    </row>
    <row r="98" spans="1:6" x14ac:dyDescent="0.35">
      <c r="A98" s="13">
        <v>0.66666666666666663</v>
      </c>
      <c r="B98">
        <v>162.1</v>
      </c>
      <c r="C98">
        <v>-23.7</v>
      </c>
      <c r="D98">
        <v>304.5</v>
      </c>
      <c r="E98">
        <v>14.4</v>
      </c>
      <c r="F98" t="s">
        <v>95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60</vt:i4>
      </vt:variant>
    </vt:vector>
  </HeadingPairs>
  <TitlesOfParts>
    <vt:vector size="68" baseType="lpstr">
      <vt:lpstr>Control</vt:lpstr>
      <vt:lpstr>Settings</vt:lpstr>
      <vt:lpstr>Monitor</vt:lpstr>
      <vt:lpstr>Sequence</vt:lpstr>
      <vt:lpstr>CartLog</vt:lpstr>
      <vt:lpstr>GimbalLog</vt:lpstr>
      <vt:lpstr>Log</vt:lpstr>
      <vt:lpstr>AstroTable</vt:lpstr>
      <vt:lpstr>btnExportModules</vt:lpstr>
      <vt:lpstr>btnGenerateGCTable</vt:lpstr>
      <vt:lpstr>btnGetSunsetTime</vt:lpstr>
      <vt:lpstr>btnImportModules</vt:lpstr>
      <vt:lpstr>btnInitShoot</vt:lpstr>
      <vt:lpstr>btnStartSequence</vt:lpstr>
      <vt:lpstr>btnStopSequence</vt:lpstr>
      <vt:lpstr>btnSystemCheck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dataReplayStart</vt:lpstr>
      <vt:lpstr>dataSequenceRunning</vt:lpstr>
      <vt:lpstr>dataShotCount</vt:lpstr>
      <vt:lpstr>dataSunriseTime</vt:lpstr>
      <vt:lpstr>dataSunsetTime</vt:lpstr>
      <vt:lpstr>dataUTCOffset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2026-05-10T11:37:39Z</dcterms:modified>
</cp:coreProperties>
</file>