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HyperLapse-Excel\"/>
    </mc:Choice>
  </mc:AlternateContent>
  <xr:revisionPtr revIDLastSave="0" documentId="13_ncr:1_{BB3CFBF9-801D-4697-A2BF-4777A25CFB28}" xr6:coauthVersionLast="47" xr6:coauthVersionMax="47" xr10:uidLastSave="{00000000-0000-0000-0000-000000000000}"/>
  <bookViews>
    <workbookView xWindow="290" yWindow="3260" windowWidth="36570" windowHeight="15750" activeTab="1" xr2:uid="{00000000-000D-0000-FFFF-FFFF00000000}"/>
  </bookViews>
  <sheets>
    <sheet name="Control" sheetId="8" r:id="rId1"/>
    <sheet name="Settings" sheetId="1" r:id="rId2"/>
    <sheet name="Plan" sheetId="18" r:id="rId3"/>
    <sheet name="Monitor" sheetId="2" r:id="rId4"/>
    <sheet name="Sequence" sheetId="3" r:id="rId5"/>
    <sheet name="CartLog" sheetId="4" r:id="rId6"/>
    <sheet name="GimbalLog" sheetId="5" r:id="rId7"/>
    <sheet name="Log" sheetId="6" r:id="rId8"/>
    <sheet name="Soak test" sheetId="19" r:id="rId9"/>
    <sheet name="AstroTable" sheetId="7" r:id="rId10"/>
    <sheet name="Trace" sheetId="9" r:id="rId11"/>
    <sheet name="FallbackFormula" sheetId="16" r:id="rId12"/>
    <sheet name="Calibration" sheetId="20" r:id="rId13"/>
    <sheet name="GimbalViz" sheetId="21" r:id="rId14"/>
  </sheets>
  <functionGroups builtInGroupCount="19"/>
  <definedNames>
    <definedName name="_xleta.ROW" hidden="1" xlm="1">#NAME?</definedName>
    <definedName name="btnCable">Control!$C$18</definedName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Map">Control!$C$19</definedName>
    <definedName name="btnGetSunsetTime">Control!$C$7</definedName>
    <definedName name="btnGimbalVisual">Control!$C$17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repCart">Control!$C$23</definedName>
    <definedName name="btnPrepPlan">Control!$C$22</definedName>
    <definedName name="btnPrepSession">Control!$C$21</definedName>
    <definedName name="btnPushAstro">Control!$C$16</definedName>
    <definedName name="btnPushFormula">Control!$C$11</definedName>
    <definedName name="btnPushTrack">Control!$C$20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setTime">Settings!$F$26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datMapRadius">Control!$D$17:$D$18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21" l="1"/>
  <c r="J15" i="21"/>
  <c r="B19" i="21"/>
  <c r="B18" i="21"/>
  <c r="B17" i="21"/>
  <c r="B16" i="21"/>
  <c r="G15" i="21"/>
  <c r="F15" i="21"/>
  <c r="D15" i="21"/>
  <c r="C15" i="21"/>
  <c r="B15" i="21"/>
  <c r="M10" i="18"/>
  <c r="M9" i="18"/>
  <c r="J11" i="18"/>
  <c r="J12" i="18"/>
  <c r="J13" i="18"/>
  <c r="J14" i="18"/>
  <c r="J15" i="18"/>
  <c r="J16" i="18"/>
  <c r="J17" i="18"/>
  <c r="J18" i="18"/>
  <c r="J6" i="18"/>
  <c r="E46" i="20"/>
  <c r="G46" i="20" s="1"/>
  <c r="D46" i="20"/>
  <c r="F46" i="20" s="1"/>
  <c r="E45" i="20"/>
  <c r="G45" i="20" s="1"/>
  <c r="D45" i="20"/>
  <c r="F45" i="20" s="1"/>
  <c r="E44" i="20"/>
  <c r="G44" i="20" s="1"/>
  <c r="D44" i="20"/>
  <c r="F44" i="20" s="1"/>
  <c r="E43" i="20"/>
  <c r="G43" i="20" s="1"/>
  <c r="D43" i="20"/>
  <c r="F43" i="20" s="1"/>
  <c r="E42" i="20"/>
  <c r="G42" i="20" s="1"/>
  <c r="D42" i="20"/>
  <c r="F42" i="20" s="1"/>
  <c r="E41" i="20"/>
  <c r="G41" i="20" s="1"/>
  <c r="D41" i="20"/>
  <c r="F41" i="20" s="1"/>
  <c r="E40" i="20"/>
  <c r="G40" i="20" s="1"/>
  <c r="D40" i="20"/>
  <c r="F40" i="20" s="1"/>
  <c r="E39" i="20"/>
  <c r="G39" i="20" s="1"/>
  <c r="D39" i="20"/>
  <c r="F39" i="20" s="1"/>
  <c r="C27" i="20"/>
  <c r="C25" i="20"/>
  <c r="C24" i="20"/>
  <c r="C23" i="20"/>
  <c r="C28" i="20" s="1"/>
  <c r="D3" i="19"/>
  <c r="D4" i="19"/>
  <c r="D5" i="19"/>
  <c r="D6" i="19"/>
  <c r="D7" i="19"/>
  <c r="D8" i="19"/>
  <c r="D9" i="19"/>
  <c r="D10" i="19"/>
  <c r="A6" i="19"/>
  <c r="A4" i="19"/>
  <c r="M8" i="18"/>
  <c r="M7" i="18"/>
  <c r="M6" i="18"/>
  <c r="C151" i="16"/>
  <c r="G11" i="1"/>
  <c r="G12" i="1"/>
  <c r="G13" i="1"/>
  <c r="G14" i="1"/>
  <c r="G15" i="1"/>
  <c r="G10" i="1"/>
  <c r="G8" i="1"/>
  <c r="C149" i="16"/>
  <c r="C150" i="16"/>
  <c r="A19" i="21" l="1"/>
  <c r="C16" i="21"/>
  <c r="A16" i="21"/>
  <c r="A18" i="21"/>
  <c r="A17" i="21"/>
  <c r="D16" i="21"/>
  <c r="D17" i="21" s="1"/>
  <c r="D18" i="21" s="1"/>
  <c r="D19" i="21" s="1"/>
  <c r="A15" i="21"/>
  <c r="H42" i="20"/>
  <c r="H46" i="20"/>
  <c r="H43" i="20"/>
  <c r="H41" i="20"/>
  <c r="J7" i="18"/>
  <c r="Q7" i="18"/>
  <c r="H40" i="20"/>
  <c r="H44" i="20"/>
  <c r="H39" i="20"/>
  <c r="C30" i="20"/>
  <c r="C31" i="20" s="1"/>
  <c r="C26" i="20"/>
  <c r="H45" i="20"/>
  <c r="Q6" i="18"/>
  <c r="F9" i="1"/>
  <c r="C17" i="21" l="1"/>
  <c r="E16" i="21"/>
  <c r="F16" i="21" s="1"/>
  <c r="B10" i="21"/>
  <c r="J8" i="18"/>
  <c r="C50" i="20"/>
  <c r="C49" i="20"/>
  <c r="R6" i="18"/>
  <c r="E17" i="21" l="1"/>
  <c r="F17" i="21" s="1"/>
  <c r="G17" i="21" s="1"/>
  <c r="C18" i="21"/>
  <c r="G16" i="21"/>
  <c r="J9" i="18"/>
  <c r="Q8" i="18"/>
  <c r="Q9" i="18" l="1"/>
  <c r="E18" i="21"/>
  <c r="F18" i="21" s="1"/>
  <c r="G18" i="21" s="1"/>
  <c r="C19" i="21"/>
  <c r="J10" i="18"/>
  <c r="R7" i="18"/>
  <c r="Q10" i="18"/>
  <c r="R10" i="18" s="1"/>
  <c r="R8" i="18" l="1"/>
  <c r="I16" i="21"/>
  <c r="I15" i="21"/>
  <c r="B8" i="21"/>
  <c r="B9" i="21" s="1"/>
  <c r="E19" i="21"/>
  <c r="F19" i="21" s="1"/>
  <c r="G19" i="21" s="1"/>
  <c r="B11" i="21"/>
  <c r="R9" i="18"/>
</calcChain>
</file>

<file path=xl/sharedStrings.xml><?xml version="1.0" encoding="utf-8"?>
<sst xmlns="http://schemas.openxmlformats.org/spreadsheetml/2006/main" count="2582" uniqueCount="760">
  <si>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</si>
  <si>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</si>
  <si>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</si>
  <si>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</si>
  <si>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</si>
  <si>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</si>
  <si>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</si>
  <si>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</si>
  <si>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</si>
  <si>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</si>
  <si>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</si>
  <si>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</si>
  <si>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</si>
  <si>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</si>
  <si>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</si>
  <si>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</si>
  <si>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</si>
  <si>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</si>
  <si>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</si>
  <si>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</si>
  <si>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</si>
  <si>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</si>
  <si>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</si>
  <si>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</si>
  <si>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</si>
  <si>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</si>
  <si>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</si>
  <si>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</si>
  <si>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</si>
  <si>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</si>
  <si>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</si>
  <si>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</si>
  <si>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</si>
  <si>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</si>
  <si>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</si>
  <si>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</si>
  <si>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</si>
  <si>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</si>
  <si>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</si>
  <si>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</si>
  <si>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</si>
  <si>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</si>
  <si>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</si>
  <si>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</si>
  <si>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</si>
  <si>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</si>
  <si>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</si>
  <si>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</si>
  <si>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</si>
  <si>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</si>
  <si>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</si>
  <si>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</si>
  <si>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</si>
  <si>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</si>
  <si>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</si>
  <si>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</si>
  <si>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</si>
  <si>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</si>
  <si>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</si>
  <si>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</si>
  <si>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</si>
  <si>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</si>
  <si>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</si>
  <si>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</si>
  <si>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</si>
  <si>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</si>
  <si>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</si>
  <si>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</si>
  <si>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</si>
  <si>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</si>
  <si>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</si>
  <si>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</si>
  <si>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</si>
  <si>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</si>
  <si>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</si>
  <si>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</si>
  <si>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</si>
  <si>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</si>
  <si>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</si>
  <si>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</si>
  <si>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</si>
  <si>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</si>
  <si>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</si>
  <si>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no</t>
  </si>
  <si>
    <t>YES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</si>
  <si>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</si>
  <si>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</si>
  <si>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</si>
  <si>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</si>
  <si>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</si>
  <si>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</si>
  <si>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</si>
  <si>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</si>
  <si>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</si>
  <si>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</si>
  <si>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</si>
  <si>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2a/2b target luminance (0–255 scale)</t>
  </si>
  <si>
    <t>Phase 4a/4b target luminance (0–255 scale)</t>
  </si>
  <si>
    <t>Luminace</t>
  </si>
  <si>
    <t xml:space="preserve">iso </t>
  </si>
  <si>
    <t>Integrate Bicycle</t>
  </si>
  <si>
    <t>S</t>
  </si>
  <si>
    <t>T</t>
  </si>
  <si>
    <t>t_sec</t>
  </si>
  <si>
    <t>x_m</t>
  </si>
  <si>
    <t>y_m</t>
  </si>
  <si>
    <t>theta_deg</t>
  </si>
  <si>
    <t>segment_dist_m</t>
  </si>
  <si>
    <t>steering_deg</t>
  </si>
  <si>
    <t>speed_mhr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</si>
  <si>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</si>
  <si>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</si>
  <si>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</si>
  <si>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</si>
  <si>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</si>
  <si>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</si>
  <si>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</si>
  <si>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</si>
  <si>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</si>
  <si>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</si>
  <si>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</si>
  <si>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</si>
  <si>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</si>
  <si>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</si>
  <si>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</si>
  <si>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</si>
  <si>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</si>
  <si>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</si>
  <si>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</si>
  <si>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</si>
  <si>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</si>
  <si>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</si>
  <si>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</si>
  <si>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</si>
  <si>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</si>
  <si>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</si>
  <si>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</si>
  <si>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</si>
  <si>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</si>
  <si>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</si>
  <si>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</si>
  <si>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</si>
  <si>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</si>
  <si>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</si>
  <si>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</si>
  <si>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</si>
  <si>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</si>
  <si>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</si>
  <si>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</si>
  <si>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</si>
  <si>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</si>
  <si>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</si>
  <si>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</si>
  <si>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</si>
  <si>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</si>
  <si>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</si>
  <si>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</si>
  <si>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</si>
  <si>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</si>
  <si>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</si>
  <si>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</si>
  <si>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</si>
  <si>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</si>
  <si>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</si>
  <si>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</si>
  <si>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</si>
  <si>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</si>
  <si>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</si>
  <si>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</si>
  <si>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</si>
  <si>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</si>
  <si>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</si>
  <si>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</si>
  <si>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</si>
  <si>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</si>
  <si>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</si>
  <si>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</si>
  <si>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</si>
  <si>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</si>
  <si>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</si>
  <si>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</si>
  <si>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</si>
  <si>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</si>
  <si>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</si>
  <si>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</si>
  <si>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</si>
  <si>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</si>
  <si>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</si>
  <si>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</si>
  <si>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</si>
  <si>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</si>
  <si>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</si>
  <si>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</si>
  <si>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</si>
  <si>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</si>
  <si>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</si>
  <si>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</si>
  <si>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</si>
  <si>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</si>
  <si>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</si>
  <si>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</si>
  <si>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</si>
  <si>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</si>
  <si>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</si>
  <si>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</si>
  <si>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</si>
  <si>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</si>
  <si>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</si>
  <si>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</si>
  <si>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</si>
  <si>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</si>
  <si>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</si>
  <si>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</si>
  <si>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</si>
  <si>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</si>
  <si>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</si>
  <si>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</si>
  <si>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</si>
  <si>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</si>
  <si>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</si>
  <si>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</si>
  <si>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</si>
  <si>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</si>
  <si>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</si>
  <si>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</si>
  <si>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</si>
  <si>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</si>
  <si>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</si>
  <si>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</si>
  <si>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</si>
  <si>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</si>
  <si>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</si>
  <si>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</si>
  <si>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</si>
  <si>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</si>
  <si>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</si>
  <si>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</si>
  <si>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</si>
  <si>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</si>
  <si>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</si>
  <si>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</si>
  <si>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</si>
  <si>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</si>
  <si>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</si>
  <si>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</si>
  <si>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</si>
  <si>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</si>
  <si>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CartLogRow</t>
  </si>
  <si>
    <t>Gimbal yaw envelope min (Â°)</t>
  </si>
  <si>
    <t>Gimbal yaw envelope max (Â°)</t>
  </si>
  <si>
    <t>1/5000</t>
  </si>
  <si>
    <t>Push Astro to Cart</t>
  </si>
  <si>
    <t>Push Track Paths to Cart</t>
  </si>
  <si>
    <t>Moon set</t>
  </si>
  <si>
    <t>Moon Rise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</si>
  <si>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</si>
  <si>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</si>
  <si>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</si>
  <si>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</si>
  <si>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</si>
  <si>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</si>
  <si>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</si>
  <si>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</si>
  <si>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</si>
  <si>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</si>
  <si>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</si>
  <si>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</si>
  <si>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</si>
  <si>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</si>
  <si>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</si>
  <si>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</si>
  <si>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</si>
  <si>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</si>
  <si>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</si>
  <si>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</si>
  <si>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</si>
  <si>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</si>
  <si>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</si>
  <si>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</si>
  <si>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</si>
  <si>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</si>
  <si>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</si>
  <si>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</si>
  <si>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WP</t>
  </si>
  <si>
    <t>WP01</t>
  </si>
  <si>
    <t>—</t>
  </si>
  <si>
    <t>END</t>
  </si>
  <si>
    <t>STOP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</si>
  <si>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</si>
  <si>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</si>
  <si>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</si>
  <si>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</si>
  <si>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</si>
  <si>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</si>
  <si>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</si>
  <si>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</si>
  <si>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</si>
  <si>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</si>
  <si>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</si>
  <si>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</si>
  <si>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P7 Plan push</t>
  </si>
  <si>
    <t>Plan push dry-run</t>
  </si>
  <si>
    <t>TRUE = validate + decompose only, no POST. FALSE = real push (pings cart first).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</si>
  <si>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</si>
  <si>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</si>
  <si>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</si>
  <si>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</si>
  <si>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192.168.1.97</t>
  </si>
  <si>
    <t>rosedale close test, 30/5</t>
  </si>
  <si>
    <t>tv0.5, 0.4 alternating</t>
  </si>
  <si>
    <t>2 sec interval</t>
  </si>
  <si>
    <t>file=SOAK_010.CSV rows=8146 dur_s=7485</t>
  </si>
  <si>
    <t>frames_reported=2880</t>
  </si>
  <si>
    <t>shutter_post=2880 ok=2880 fail=0</t>
  </si>
  <si>
    <t>put_tv=3593 ok=2880</t>
  </si>
  <si>
    <t>get_tv=960 ok=960</t>
  </si>
  <si>
    <t>status_err_total=713</t>
  </si>
  <si>
    <t>rssi min/last/max=-49/-35/-32 hb=711</t>
  </si>
  <si>
    <t>heap_used first/min/max/last=25288/25288/25288/25288 drift=0</t>
  </si>
  <si>
    <t>max_gap_ms=10003 stalls_gt_30s=0</t>
  </si>
  <si>
    <t>GC Az (°)</t>
  </si>
  <si>
    <t>GC Alt (°)</t>
  </si>
  <si>
    <t>Sun Az (°)</t>
  </si>
  <si>
    <t>Sun Alt (°)</t>
  </si>
  <si>
    <t>W</t>
  </si>
  <si>
    <t>t</t>
  </si>
  <si>
    <t>WP02</t>
  </si>
  <si>
    <t>W=1</t>
  </si>
  <si>
    <t>Speed 10 m/hr</t>
  </si>
  <si>
    <t>Speed 20 m/hr</t>
  </si>
  <si>
    <t>Speed 30 m/hr</t>
  </si>
  <si>
    <t>Speed 40 m/hr</t>
  </si>
  <si>
    <t>Speed 50 m/hr</t>
  </si>
  <si>
    <t>Speed 60 m/hr</t>
  </si>
  <si>
    <t>Speed 70 m/hr</t>
  </si>
  <si>
    <t>Speed 80 m/hr</t>
  </si>
  <si>
    <t>Speed 90 m/hr</t>
  </si>
  <si>
    <t>Speed 100 m/hr</t>
  </si>
  <si>
    <t>Steer centre</t>
  </si>
  <si>
    <t>W=2</t>
  </si>
  <si>
    <t>W=3</t>
  </si>
  <si>
    <t>GetCartLog</t>
  </si>
  <si>
    <t>ProcessCartLog</t>
  </si>
  <si>
    <t>GenerateReplayPlan</t>
  </si>
  <si>
    <t>GetGimbalLogToSheet</t>
  </si>
  <si>
    <t>ClearCartLog</t>
  </si>
  <si>
    <t>ClearGimbalLog</t>
  </si>
  <si>
    <t>CartLogSummary</t>
  </si>
  <si>
    <t>Functions:</t>
  </si>
  <si>
    <t>EventDescription</t>
  </si>
  <si>
    <t>TimestampDiff</t>
  </si>
  <si>
    <t>SafeDouble</t>
  </si>
  <si>
    <t>Steps to move cart-log info into the Cart Plan sheet:</t>
  </si>
  <si>
    <t>1. Clear the CartLog sheet — so the run doesn't stack on an old one (until we fold this into the macro).</t>
  </si>
  <si>
    <t>2. Run GetCartLog — imports the run from the cart into the CartLog sheet.</t>
  </si>
  <si>
    <t>3. Run ProcessCartLog — fills col G "Distance (m)" (BuildPlanFromCartLog refuses to run without this).</t>
  </si>
  <si>
    <t>4. Run BuildPlanFromCartLog — writes the cart plan into the Plan sheet's left zone. If the Plan already has rows, it asks before overwriting — say Yes.</t>
  </si>
  <si>
    <t>Do them in that order. Tell me the result after each, or just shout if any step throws a</t>
  </si>
  <si>
    <t>BuildPlanFromCartLog</t>
  </si>
  <si>
    <t>W=4</t>
  </si>
  <si>
    <t>btnIntegrateBicycle</t>
  </si>
  <si>
    <t>C</t>
  </si>
  <si>
    <t>Heading (deg)</t>
  </si>
  <si>
    <t>RearSteps</t>
  </si>
  <si>
    <t>FrontSteps</t>
  </si>
  <si>
    <t>BNO heading (deg)</t>
  </si>
  <si>
    <t>BNO cal</t>
  </si>
  <si>
    <t>iPhone compass (deg)</t>
  </si>
  <si>
    <t>Compass WP</t>
  </si>
  <si>
    <t>Steer right 5 deg</t>
  </si>
  <si>
    <t>Steer right 10 deg</t>
  </si>
  <si>
    <t>Steer right 15 deg</t>
  </si>
  <si>
    <t>Steer right 20 deg</t>
  </si>
  <si>
    <t>Steer right 25 deg</t>
  </si>
  <si>
    <t>Steer right 30 deg</t>
  </si>
  <si>
    <t>Steer right 35 deg</t>
  </si>
  <si>
    <t>Commences</t>
  </si>
  <si>
    <t>Col</t>
  </si>
  <si>
    <t>Field</t>
  </si>
  <si>
    <t>What you can type</t>
  </si>
  <si>
    <t>M</t>
  </si>
  <si>
    <t>nothing - auto formula (GP01, GP02, ...)</t>
  </si>
  <si>
    <t>N</t>
  </si>
  <si>
    <t>WP, TIME, ASTRO</t>
  </si>
  <si>
    <t>O</t>
  </si>
  <si>
    <t>depends on N: WP -&gt; WP01..WPnn (pulled from the cart plan, col B); ASTRO -&gt; sunset, sunrise, moonrise, moonset, gcrise, gctransit, gcset; TIME -&gt; a time typed as HH:MM</t>
  </si>
  <si>
    <t>P</t>
  </si>
  <si>
    <t>a number of minutes (blank = 0)</t>
  </si>
  <si>
    <t>Q</t>
  </si>
  <si>
    <t>nothing - formula (anchor time + offset)</t>
  </si>
  <si>
    <t>R</t>
  </si>
  <si>
    <t>nothing - formula (gap to next step)</t>
  </si>
  <si>
    <t>Pan Follow, Lock, Move, Track, Track-yaw, END</t>
  </si>
  <si>
    <t>sun, moon, gc</t>
  </si>
  <si>
    <t>U</t>
  </si>
  <si>
    <t>Imperceptible, Cinematic ease, Deliberate pan, Fast, Snap, Computed, dash</t>
  </si>
  <si>
    <t>V</t>
  </si>
  <si>
    <t>Ry (deg)</t>
  </si>
  <si>
    <t>a number, or dash</t>
  </si>
  <si>
    <t>Rp (deg)</t>
  </si>
  <si>
    <t>a number, or dash (in Track-yaw mode this is the absolute pitch)</t>
  </si>
  <si>
    <t>X</t>
  </si>
  <si>
    <t>dyaw (deg)</t>
  </si>
  <si>
    <t>a number (relative yaw move)</t>
  </si>
  <si>
    <t>Y</t>
  </si>
  <si>
    <t>dpitch (deg)</t>
  </si>
  <si>
    <t>a number (relative pitch move)</t>
  </si>
  <si>
    <t>Z</t>
  </si>
  <si>
    <t>none, Just-perceptible, Comfortable, Cinematic, dash</t>
  </si>
  <si>
    <t>AA</t>
  </si>
  <si>
    <t>nothing - derived ("(computed)")</t>
  </si>
  <si>
    <t>AB</t>
  </si>
  <si>
    <t>free text</t>
  </si>
  <si>
    <t>Just-perceptible</t>
  </si>
  <si>
    <t>Speed 0 m/hr</t>
  </si>
  <si>
    <t>iPhone compass 180 -&gt; WP1</t>
  </si>
  <si>
    <t>iPhone compass 180 -&gt; WP2</t>
  </si>
  <si>
    <t>iPhone compass 270 -&gt; WP3</t>
  </si>
  <si>
    <t>iPhone compass 270 -&gt; WP4</t>
  </si>
  <si>
    <t>Gimbal Plan - validation</t>
  </si>
  <si>
    <t>Cumulative yaw vs pitch. Re-run after adding/removing plan rows.</t>
  </si>
  <si>
    <t>Fast-yaw threshold (deg/step)</t>
  </si>
  <si>
    <t>Pitch limit (deg)</t>
  </si>
  <si>
    <t>Yaw cable limit (+/- deg)</t>
  </si>
  <si>
    <t>Max |cumulative yaw| (deg)</t>
  </si>
  <si>
    <t>Yaw cable headroom (deg)</t>
  </si>
  <si>
    <t>Max pitch (deg)</t>
  </si>
  <si>
    <t>Fast-yaw steps flagged</t>
  </si>
  <si>
    <t>Cum yaw (deg)</t>
  </si>
  <si>
    <t>Pitch (deg)</t>
  </si>
  <si>
    <t>Yaw step (deg)</t>
  </si>
  <si>
    <t>Fast?</t>
  </si>
  <si>
    <t>Fast pitch</t>
  </si>
  <si>
    <t>limX</t>
  </si>
  <si>
    <t>limY</t>
  </si>
  <si>
    <t xml:space="preserve">cart </t>
  </si>
  <si>
    <t>Gimbal Visual</t>
  </si>
  <si>
    <t>Dir (CW/CCW)</t>
  </si>
  <si>
    <t>CW</t>
  </si>
  <si>
    <t>Moon Az (°)</t>
  </si>
  <si>
    <t>Moon Alt (°)</t>
  </si>
  <si>
    <t>Moon above horizon</t>
  </si>
  <si>
    <t>Get Map</t>
  </si>
  <si>
    <t>http://www.skippysky.com.au/Compact/Australia/Compact_Oz_Stockport.html</t>
  </si>
  <si>
    <t>Cable Visual</t>
  </si>
  <si>
    <t>CABLEPUSH</t>
  </si>
  <si>
    <t>--- PushCableStripToCart start (REAL PUSH) ---</t>
  </si>
  <si>
    <t>PREP</t>
  </si>
  <si>
    <t>UTILS</t>
  </si>
  <si>
    <t>Sun (local): rise=07:21 set=17:10 civDusk=17:38 astroDusk=18:41</t>
  </si>
  <si>
    <t>Moon (local): rise=00:25 set=12:48</t>
  </si>
  <si>
    <t>GetSunsetTime ok</t>
  </si>
  <si>
    <t>SEQ</t>
  </si>
  <si>
    <t>Phase times calculated from sunset 17:10:28</t>
  </si>
  <si>
    <t>ASTRO</t>
  </si>
  <si>
    <t>GC table generated -- 97 rows</t>
  </si>
  <si>
    <t>CAMERA</t>
  </si>
  <si>
    <t xml:space="preserve">PUT /ccapi/ver100/shooting/settings/shootingmode - Connection failed: The operation timed out_x000D_
</t>
  </si>
  <si>
    <t>InitShoot complete. Sunset: 17:10:28</t>
  </si>
  <si>
    <t>InitShoot ok</t>
  </si>
  <si>
    <t>GenerateGCTable ok</t>
  </si>
  <si>
    <t>ASTROPUSH</t>
  </si>
  <si>
    <t>TRACKPUSH</t>
  </si>
  <si>
    <t>mw seg 1 FREEZE yaw=48.9</t>
  </si>
  <si>
    <t>PushTrackPathsToCart ok</t>
  </si>
  <si>
    <t>Fetch Gimbal Map skipped (map.png present)</t>
  </si>
  <si>
    <t>RenderPlanView ok</t>
  </si>
  <si>
    <t>Mode set to m</t>
  </si>
  <si>
    <t>Av set to f1.8</t>
  </si>
  <si>
    <t>ISO set to 100</t>
  </si>
  <si>
    <t>Tv set to 1/5000</t>
  </si>
  <si>
    <t>Camera initialised: M f1.8 ISO100 1/5000</t>
  </si>
  <si>
    <t>Tv lookup populated from camera: 60 values</t>
  </si>
  <si>
    <t>=== InitShoot ===</t>
  </si>
  <si>
    <t>=== Camera initialisation ===</t>
  </si>
  <si>
    <t>Phase 5  -  Daytime</t>
  </si>
  <si>
    <t>=== PushTrackPathsToCart ===</t>
  </si>
  <si>
    <t>Mode</t>
  </si>
  <si>
    <t>2026-06-08 16:06:49</t>
  </si>
  <si>
    <t>GIMBAL</t>
  </si>
  <si>
    <t>GimbalLog retrieved - 0 row(s)</t>
  </si>
  <si>
    <t>F</t>
  </si>
  <si>
    <t>_x000D_</t>
  </si>
  <si>
    <t>2026-06-08 16:07:35</t>
  </si>
  <si>
    <t>GimbalLog retrieved - 1 row(s)</t>
  </si>
  <si>
    <t>2026-06-08 16:07:55</t>
  </si>
  <si>
    <t>PLAN</t>
  </si>
  <si>
    <t>PullGimbalLogToPlan: 1 rows (LEGACY_4FIELD)</t>
  </si>
  <si>
    <t>Yaw</t>
  </si>
  <si>
    <t>Pitch</t>
  </si>
  <si>
    <t>Obj</t>
  </si>
  <si>
    <t>dyaw</t>
  </si>
  <si>
    <t>dpitch</t>
  </si>
  <si>
    <t>2026-06-08 16:09:26</t>
  </si>
  <si>
    <t>PullGimbalLogToPlan: 1 rows (RICH)</t>
  </si>
  <si>
    <t>2026-06-08 16:12:33</t>
  </si>
  <si>
    <t>2026-06-08 16:12:50</t>
  </si>
  <si>
    <t>2026-06-08 16:12:59</t>
  </si>
  <si>
    <t>PullGimbalLogToPlan: 2 rows (RICH)</t>
  </si>
  <si>
    <t>Way 01</t>
  </si>
  <si>
    <t>Cinematic ease</t>
  </si>
  <si>
    <t>2026-06-08 16:25:50</t>
  </si>
  <si>
    <t>CARTPUSH</t>
  </si>
  <si>
    <t>--- PushCartPlan start (REAL PUSH) ---</t>
  </si>
  <si>
    <t xml:space="preserve">  WP01 -&gt; m,1000,0,100,d</t>
  </si>
  <si>
    <t xml:space="preserve">  WP02 -&gt; s,900000,0,0,t</t>
  </si>
  <si>
    <t>Assembled: /plan/load?n=2&amp;s1=m,1000,0,100,d&amp;s2=s,900000,0,0,t  (2 segments)</t>
  </si>
  <si>
    <t>GET http://192.168.1.97/plan/load?n=2&amp;s1=m,1000,0,100,d&amp;s2=s,900000,0,0,t</t>
  </si>
  <si>
    <t xml:space="preserve">OK OK loaded n=2_x000D_
</t>
  </si>
  <si>
    <t>2026-06-08 16:25:52</t>
  </si>
  <si>
    <t>--- PushCartPlan end (REAL PUSH) ---</t>
  </si>
  <si>
    <t>2026-06-08 16:26:11</t>
  </si>
  <si>
    <t>TRACKPLAN</t>
  </si>
  <si>
    <t>--- PushTrackPlanToCart start (REAL PUSH) ---</t>
  </si>
  <si>
    <t xml:space="preserve">  (build: Day28 dated-timeline ease fix)</t>
  </si>
  <si>
    <t xml:space="preserve">  (build: Day29 Phase-1 WP-event binding -- tail tokens awp/offms)</t>
  </si>
  <si>
    <t xml:space="preserve">  idx=0 obj=S mode=Y ts=0ms te=36000ms offy=-10.0 offp=0.0</t>
  </si>
  <si>
    <t xml:space="preserve">    bind: awp=1 offms=0</t>
  </si>
  <si>
    <t xml:space="preserve">    eh: 0.0 deg (earth WP1, from col H)</t>
  </si>
  <si>
    <t xml:space="preserve">    acquire: ease='Just-perceptible' frames=3 cadence=2.0s -&gt; acquire_ms=6000</t>
  </si>
  <si>
    <t xml:space="preserve">  idx=1 obj=S mode=Y ts=36000ms te=936000ms offy=-10.0 offp=0.0</t>
  </si>
  <si>
    <t xml:space="preserve">    bind: awp=2 offms=0</t>
  </si>
  <si>
    <t xml:space="preserve">    eh: 0.0 deg (earth WP2, from col H)</t>
  </si>
  <si>
    <t>Built 2 TrackInterval(s).</t>
  </si>
  <si>
    <t>GET http://192.168.1.97/settings/trackplan?idx=0&amp;ts=0&amp;te=36000&amp;obj=S&amp;mode=Y&amp;offy=-10.00&amp;offp=0.00&amp;acquire=6000&amp;awp=1&amp;offms=0&amp;eh=0.00</t>
  </si>
  <si>
    <t xml:space="preserve">  OK {"count":1,"anchor_ms":2639759}_x000D_
</t>
  </si>
  <si>
    <t>GET http://192.168.1.97/settings/trackplan?idx=1&amp;ts=36000&amp;te=936000&amp;obj=S&amp;mode=Y&amp;offy=-10.00&amp;offp=0.00&amp;acquire=6000&amp;awp=2&amp;offms=0&amp;eh=0.00</t>
  </si>
  <si>
    <t xml:space="preserve">  OK {"count":2,"anchor_ms":2639759}_x000D_
</t>
  </si>
  <si>
    <t>--- PushTrackPlanToCart end (REAL PUSH, 2 intervals) ---</t>
  </si>
  <si>
    <t>2026-06-08 16:28:17</t>
  </si>
  <si>
    <t>2026-06-08 16:28:19</t>
  </si>
  <si>
    <t>2026-06-08 16:28:21</t>
  </si>
  <si>
    <t xml:space="preserve">  OK {"count":1,"anchor_ms":2770056}_x000D_
</t>
  </si>
  <si>
    <t xml:space="preserve">  OK {"count":2,"anchor_ms":2770056}_x000D_
</t>
  </si>
  <si>
    <t>2026-06-08 16:34:21</t>
  </si>
  <si>
    <t>2026-06-08 16:34:22</t>
  </si>
  <si>
    <t>2026-06-08 16:34:24</t>
  </si>
  <si>
    <t xml:space="preserve">  OK {"count":1,"anchor_ms":3132854}_x000D_
</t>
  </si>
  <si>
    <t xml:space="preserve">  OK {"count":2,"anchor_ms":3132854}_x000D_
</t>
  </si>
  <si>
    <t>2026-06-08 16:34:55</t>
  </si>
  <si>
    <t>2026-06-08 16:34:56</t>
  </si>
  <si>
    <t>2026-06-08 16:34:58</t>
  </si>
  <si>
    <t>2026-06-08 16:34:59</t>
  </si>
  <si>
    <t xml:space="preserve">  OK {"count":1,"anchor_ms":3167478}_x000D_
</t>
  </si>
  <si>
    <t xml:space="preserve">  OK {"count":2,"anchor_ms":3167478}_x000D_
</t>
  </si>
  <si>
    <t>2026-06-08 16:39:02</t>
  </si>
  <si>
    <t>2026-06-08 16:39:03</t>
  </si>
  <si>
    <t>2026-06-08 16:39:04</t>
  </si>
  <si>
    <t>2026-06-08 16:39:06</t>
  </si>
  <si>
    <t xml:space="preserve">  OK {"count":1,"anchor_ms":3415034}_x000D_
</t>
  </si>
  <si>
    <t xml:space="preserve">  OK {"count":2,"anchor_ms":3415034}_x000D_
</t>
  </si>
  <si>
    <t>2026-06-08 16:43:34</t>
  </si>
  <si>
    <t>2026-06-08 16:43:36</t>
  </si>
  <si>
    <t>2026-06-08 16:43:38</t>
  </si>
  <si>
    <t xml:space="preserve">  OK {"count":1,"anchor_ms":3686882}_x000D_
</t>
  </si>
  <si>
    <t xml:space="preserve">  OK {"count":2,"anchor_ms":3686882}_x000D_
</t>
  </si>
  <si>
    <t>2026-06-08 16:47:27</t>
  </si>
  <si>
    <t>sun seg 0 pushed (ts=1381 te=26909)</t>
  </si>
  <si>
    <t>sun seg 1 pushed (ts=26909 te=52437)</t>
  </si>
  <si>
    <t>mw seg 0 pushed (ts=6837 te=26937)</t>
  </si>
  <si>
    <t>mw seg 1 pushed (ts=26937 te=47037)</t>
  </si>
  <si>
    <t>moon seg 0 pushed (ts=6837 te=26937)</t>
  </si>
  <si>
    <t>moon seg 1 pushed (ts=26937 te=47037)</t>
  </si>
  <si>
    <t>2026-06-08 16:52:46</t>
  </si>
  <si>
    <t>2026-06-08 16:52:47</t>
  </si>
  <si>
    <t>2026-06-08 16:52:48</t>
  </si>
  <si>
    <t>2026-06-08 16:52:51</t>
  </si>
  <si>
    <t>2026-06-08 16:52:52</t>
  </si>
  <si>
    <t xml:space="preserve">  OK {"count":1,"anchor_ms":4240897}_x000D_
</t>
  </si>
  <si>
    <t xml:space="preserve">  OK {"count":2,"anchor_ms":4240897}_x000D_
</t>
  </si>
  <si>
    <t>2026-06-08 16:53:00</t>
  </si>
  <si>
    <t>sun seg 0 pushed (ts=1048 te=26576)</t>
  </si>
  <si>
    <t>sun seg 1 pushed (ts=26576 te=52104)</t>
  </si>
  <si>
    <t>mw seg 0 pushed (ts=6504 te=26604)</t>
  </si>
  <si>
    <t>mw seg 1 pushed (ts=26604 te=46704)</t>
  </si>
  <si>
    <t>moon seg 0 pushed (ts=6504 te=26604)</t>
  </si>
  <si>
    <t>moon seg 1 pushed (ts=26604 te=46704)</t>
  </si>
  <si>
    <t>2026-06-08 18:37:54</t>
  </si>
  <si>
    <t>GC times: rise=2026-06-08 17:22 transit=00:57 set=2026-06-09 08:26</t>
  </si>
  <si>
    <t>PrepSession, today</t>
  </si>
  <si>
    <t>Prep Plan</t>
  </si>
  <si>
    <t>PrepCart</t>
  </si>
  <si>
    <t>2026-06-08 19:24:34</t>
  </si>
  <si>
    <t>--- PrepSession start ---</t>
  </si>
  <si>
    <t>2026-06-08 19:24:36</t>
  </si>
  <si>
    <t>Astro.UpdateGCTimes ok</t>
  </si>
  <si>
    <t>2026-06-08 19:24:37</t>
  </si>
  <si>
    <t>2026-06-08 19:24:58</t>
  </si>
  <si>
    <t>2026-06-08 19:25:02</t>
  </si>
  <si>
    <t>2026-06-08 19:25:03</t>
  </si>
  <si>
    <t>2026-06-08 19:25:05</t>
  </si>
  <si>
    <t>--- PrepSession end ---</t>
  </si>
  <si>
    <t>2026-06-08 19:25:12</t>
  </si>
  <si>
    <t>--- BuildPlan start ---</t>
  </si>
  <si>
    <t>2026-06-08 19:25:25</t>
  </si>
  <si>
    <t>2026-06-08 19:25:38</t>
  </si>
  <si>
    <t>RenderCableStrip ok</t>
  </si>
  <si>
    <t>--- BuildPlan end ---</t>
  </si>
  <si>
    <t>2026-06-08 19:25:48</t>
  </si>
  <si>
    <t>--- PushToCart start ---</t>
  </si>
  <si>
    <t>AstroPush.SetRealtimeAnchor FAILED: Cannot run the macro 'AstroPush.SetRealtimeAnchor'. The macro may not be available in this workbook or all macros may be disabled.</t>
  </si>
  <si>
    <t>2026-06-08 19:25:50</t>
  </si>
  <si>
    <t>PushCartPlan ok</t>
  </si>
  <si>
    <t xml:space="preserve">  OK {"count":1,"anchor_ms":4188098}_x000D_
</t>
  </si>
  <si>
    <t xml:space="preserve">  OK {"count":2,"anchor_ms":4188098}_x000D_
</t>
  </si>
  <si>
    <t>2026-06-08 19:25:52</t>
  </si>
  <si>
    <t>PushTrackPlanToCart ok</t>
  </si>
  <si>
    <t>sun seg 0 pushed (ts=-8124 te=4640)</t>
  </si>
  <si>
    <t>sun seg 1 pushed (ts=4640 te=17404)</t>
  </si>
  <si>
    <t>sun seg 2 pushed (ts=17404 te=30168)</t>
  </si>
  <si>
    <t>sun seg 3 pushed (ts=30168 te=42932)</t>
  </si>
  <si>
    <t>mw seg 0 pushed (ts=-7430 te=6142)</t>
  </si>
  <si>
    <t>mw seg 1 FREEZE yaw=47.2</t>
  </si>
  <si>
    <t>mw seg 1 pushed (ts=6142 te=19715)</t>
  </si>
  <si>
    <t>mw seg 2 FREEZE yaw=0.2</t>
  </si>
  <si>
    <t>mw seg 2 pushed (ts=19715 te=33288)</t>
  </si>
  <si>
    <t>mw seg 3 pushed (ts=33288 te=46860)</t>
  </si>
  <si>
    <t>moon seg 0 pushed (ts=-2668 te=7382)</t>
  </si>
  <si>
    <t>moon seg 1 pushed (ts=7382 te=17432)</t>
  </si>
  <si>
    <t>moon seg 2 pushed (ts=17432 te=27482)</t>
  </si>
  <si>
    <t>moon seg 3 pushed (ts=27482 te=37532)</t>
  </si>
  <si>
    <t>2026-06-08 19:25:53</t>
  </si>
  <si>
    <t>CHARTPUSH</t>
  </si>
  <si>
    <t>--- PushChartToCart start (REAL PUSH) ---</t>
  </si>
  <si>
    <t xml:space="preserve">  NOTE row 6: TRACK-YAW (astro) - charting deferred, skipped</t>
  </si>
  <si>
    <t xml:space="preserve">  NOTE row 7: TRACK-YAW (astro) - charting deferred, skipped</t>
  </si>
  <si>
    <t xml:space="preserve">  no chartable points found</t>
  </si>
  <si>
    <t>2026-06-08 19:25:55</t>
  </si>
  <si>
    <t>PushChartToCart ok</t>
  </si>
  <si>
    <t xml:space="preserve">  NOTE row 6: astro 'sun' - skipped (deferred)</t>
  </si>
  <si>
    <t xml:space="preserve">  NOTE row 7: astro 'sun' - skipped (deferred)</t>
  </si>
  <si>
    <t>2026-06-08 19:25:57</t>
  </si>
  <si>
    <t>PushCableStripToCart ok</t>
  </si>
  <si>
    <t>--- PushToCart end ---</t>
  </si>
  <si>
    <t>gc</t>
  </si>
  <si>
    <t>Track</t>
  </si>
  <si>
    <t>2026-06-08 19:32:43</t>
  </si>
  <si>
    <t>2026-06-08 19:32:49</t>
  </si>
  <si>
    <t>2026-06-08 19:33:04</t>
  </si>
  <si>
    <t>2026-06-08 19:33:14</t>
  </si>
  <si>
    <t xml:space="preserve">  WP02 -&gt; s,1800000,0,0,t</t>
  </si>
  <si>
    <t>Assembled: /plan/load?n=2&amp;s1=m,1000,0,100,d&amp;s2=s,1800000,0,0,t  (2 segments)</t>
  </si>
  <si>
    <t>GET http://192.168.1.97/plan/load?n=2&amp;s1=m,1000,0,100,d&amp;s2=s,1800000,0,0,t</t>
  </si>
  <si>
    <t>2026-06-08 19:33:16</t>
  </si>
  <si>
    <t xml:space="preserve">  idx=0 obj=W mode=F ts=0ms te=36000ms offy=0.0 offp=0.0</t>
  </si>
  <si>
    <t xml:space="preserve">  idx=1 obj=W mode=F ts=36000ms te=1836000ms offy=0.0 offp=0.0</t>
  </si>
  <si>
    <t>GET http://192.168.1.97/settings/trackplan?idx=0&amp;ts=0&amp;te=36000&amp;obj=W&amp;mode=F&amp;offy=0.00&amp;offp=0.00&amp;acquire=6000&amp;awp=1&amp;offms=0&amp;eh=0.00</t>
  </si>
  <si>
    <t xml:space="preserve">  OK {"count":1,"anchor_ms":4633756}_x000D_
</t>
  </si>
  <si>
    <t>GET http://192.168.1.97/settings/trackplan?idx=1&amp;ts=36000&amp;te=1836000&amp;obj=W&amp;mode=F&amp;offy=0.00&amp;offp=0.00&amp;acquire=6000&amp;awp=2&amp;offms=0&amp;eh=0.00</t>
  </si>
  <si>
    <t>2026-06-08 19:33:17</t>
  </si>
  <si>
    <t xml:space="preserve">  OK {"count":2,"anchor_ms":4633756}_x000D_
</t>
  </si>
  <si>
    <t>2026-06-08 19:33:18</t>
  </si>
  <si>
    <t>sun seg 0 pushed (ts=-8570 te=4194)</t>
  </si>
  <si>
    <t>sun seg 1 pushed (ts=4194 te=16958)</t>
  </si>
  <si>
    <t>sun seg 2 pushed (ts=16958 te=29722)</t>
  </si>
  <si>
    <t>sun seg 3 pushed (ts=29722 te=42486)</t>
  </si>
  <si>
    <t>mw seg 0 pushed (ts=-7876 te=5696)</t>
  </si>
  <si>
    <t>mw seg 1 pushed (ts=5696 te=19269)</t>
  </si>
  <si>
    <t>mw seg 2 pushed (ts=19269 te=32842)</t>
  </si>
  <si>
    <t>mw seg 3 pushed (ts=32842 te=46414)</t>
  </si>
  <si>
    <t>moon seg 0 pushed (ts=-3114 te=6936)</t>
  </si>
  <si>
    <t>moon seg 1 pushed (ts=6936 te=16986)</t>
  </si>
  <si>
    <t>2026-06-08 19:33:19</t>
  </si>
  <si>
    <t>moon seg 2 pushed (ts=16986 te=27036)</t>
  </si>
  <si>
    <t>moon seg 3 pushed (ts=27036 te=37086)</t>
  </si>
  <si>
    <t>2026-06-08 19:33:20</t>
  </si>
  <si>
    <t xml:space="preserve">  NOTE row 6: TRACK (astro) - charting deferred, skipped</t>
  </si>
  <si>
    <t xml:space="preserve">  NOTE row 7: TRACK (astro) - charting deferred, skipped</t>
  </si>
  <si>
    <t>2026-06-08 19:33:21</t>
  </si>
  <si>
    <t xml:space="preserve">  NOTE row 6: action 'TRACK' - skipped</t>
  </si>
  <si>
    <t xml:space="preserve">  NOTE row 7: action 'TRACK' - skipped</t>
  </si>
  <si>
    <t>2026-06-08 19:33:22</t>
  </si>
  <si>
    <t>2026-06-08 19:36:04</t>
  </si>
  <si>
    <t>2026-06-08 19:36:07</t>
  </si>
  <si>
    <t>2026-06-08 19:36:11</t>
  </si>
  <si>
    <t xml:space="preserve">  OK {"count":1,"anchor_ms":17448}_x000D_
</t>
  </si>
  <si>
    <t>2026-06-08 19:36:12</t>
  </si>
  <si>
    <t xml:space="preserve">  OK {"count":2,"anchor_ms":17448}_x000D_
</t>
  </si>
  <si>
    <t>sun seg 0 pushed (ts=-8744 te=4020)</t>
  </si>
  <si>
    <t>sun seg 1 pushed (ts=4020 te=16784)</t>
  </si>
  <si>
    <t>sun seg 2 pushed (ts=16784 te=29548)</t>
  </si>
  <si>
    <t>sun seg 3 pushed (ts=29548 te=42312)</t>
  </si>
  <si>
    <t>2026-06-08 19:36:13</t>
  </si>
  <si>
    <t>mw seg 0 pushed (ts=-8050 te=5522)</t>
  </si>
  <si>
    <t>mw seg 1 pushed (ts=5522 te=19095)</t>
  </si>
  <si>
    <t>mw seg 2 pushed (ts=19095 te=32667)</t>
  </si>
  <si>
    <t>mw seg 3 pushed (ts=32667 te=46240)</t>
  </si>
  <si>
    <t>moon seg 0 pushed (ts=-3288 te=6762)</t>
  </si>
  <si>
    <t>moon seg 1 pushed (ts=6762 te=16812)</t>
  </si>
  <si>
    <t>moon seg 2 pushed (ts=16812 te=26862)</t>
  </si>
  <si>
    <t>moon seg 3 pushed (ts=26862 te=36912)</t>
  </si>
  <si>
    <t>2026-06-08 19:36:14</t>
  </si>
  <si>
    <t>2026-06-08 19:36:15</t>
  </si>
  <si>
    <t>2026-06-08 20:28:05</t>
  </si>
  <si>
    <t>2026-06-08 20:28:07</t>
  </si>
  <si>
    <t>2026-06-08 20:28:14</t>
  </si>
  <si>
    <t>Init OK 20:28:14</t>
  </si>
  <si>
    <t>2026-06-08 20:28:16</t>
  </si>
  <si>
    <t>2026-06-08 20:28:17</t>
  </si>
  <si>
    <t>2026-06-08 20:28:21</t>
  </si>
  <si>
    <t>2026-06-08 20:28:32</t>
  </si>
  <si>
    <t>2026-06-08 20:29:02</t>
  </si>
  <si>
    <t>2026-06-08 20:29:22</t>
  </si>
  <si>
    <t>2026-06-08 20:29:24</t>
  </si>
  <si>
    <t xml:space="preserve">  OK {"count":1,"anchor_ms":3210798}_x000D_
</t>
  </si>
  <si>
    <t xml:space="preserve">  OK {"count":2,"anchor_ms":3210798}_x000D_
</t>
  </si>
  <si>
    <t>2026-06-08 20:29:26</t>
  </si>
  <si>
    <t>sun seg 0 pushed (ts=-11938 te=826)</t>
  </si>
  <si>
    <t>sun seg 1 pushed (ts=826 te=13590)</t>
  </si>
  <si>
    <t>sun seg 2 pushed (ts=13590 te=26354)</t>
  </si>
  <si>
    <t>sun seg 3 pushed (ts=26354 te=39118)</t>
  </si>
  <si>
    <t>mw seg 0 pushed (ts=-11244 te=2328)</t>
  </si>
  <si>
    <t>mw seg 1 pushed (ts=2328 te=15901)</t>
  </si>
  <si>
    <t>mw seg 2 pushed (ts=15901 te=29474)</t>
  </si>
  <si>
    <t>mw seg 3 pushed (ts=29474 te=43046)</t>
  </si>
  <si>
    <t>moon seg 0 pushed (ts=-6482 te=3568)</t>
  </si>
  <si>
    <t>moon seg 1 pushed (ts=3568 te=13618)</t>
  </si>
  <si>
    <t>moon seg 2 pushed (ts=13618 te=23668)</t>
  </si>
  <si>
    <t>moon seg 3 pushed (ts=23668 te=33718)</t>
  </si>
  <si>
    <t>2026-06-08 20:29:27</t>
  </si>
  <si>
    <t>2026-06-08 20:29:28</t>
  </si>
  <si>
    <t>2026-06-08 20:29:29</t>
  </si>
  <si>
    <t>2026-06-08 20:35:13</t>
  </si>
  <si>
    <t>version ASTROPUSH_v2026-06-08-zenithband</t>
  </si>
  <si>
    <t>2026-06-08 20:36:25</t>
  </si>
  <si>
    <t>REALTIME</t>
  </si>
  <si>
    <t xml:space="preserve">anchor UTC ms=1780916785000 -&gt; OK realtime anchored_x000D_
</t>
  </si>
  <si>
    <t>AstroPush.SetRealtimeAnchor ok</t>
  </si>
  <si>
    <t>2026-06-08 20:36:27</t>
  </si>
  <si>
    <t xml:space="preserve">  OK {"count":1,"anchor_ms":3633835}_x000D_
</t>
  </si>
  <si>
    <t xml:space="preserve">  OK {"count":2,"anchor_ms":3633835}_x000D_
</t>
  </si>
  <si>
    <t>2026-06-08 20:36:28</t>
  </si>
  <si>
    <t>2026-06-08 20:40:26</t>
  </si>
  <si>
    <t xml:space="preserve">anchor UTC ms=1780917026000 -&gt; OK realtime anchored_x000D_
</t>
  </si>
  <si>
    <t>2026-06-08 20:40:28</t>
  </si>
  <si>
    <t xml:space="preserve">  OK {"count":1,"anchor_ms":3874738}_x000D_
</t>
  </si>
  <si>
    <t xml:space="preserve">  OK {"count":2,"anchor_ms":3874738}_x000D_
</t>
  </si>
  <si>
    <t>2026-06-08 20:40:29</t>
  </si>
  <si>
    <t>2026-06-08 20:42:12</t>
  </si>
  <si>
    <t xml:space="preserve">anchor UTC ms=1780917132000 -&gt; OK realtime anchored_x000D_
</t>
  </si>
  <si>
    <t>2026-06-08 20:42:13</t>
  </si>
  <si>
    <t>2026-06-08 20:42:15</t>
  </si>
  <si>
    <t xml:space="preserve">  OK {"count":1,"anchor_ms":3981657}_x000D_
</t>
  </si>
  <si>
    <t xml:space="preserve">  OK {"count":2,"anchor_ms":3981657}_x000D_
</t>
  </si>
  <si>
    <t>2026-06-08 20:42:16</t>
  </si>
  <si>
    <t>sun seg 0 pushed (ts=-12708 te=56)</t>
  </si>
  <si>
    <t>sun seg 1 pushed (ts=56 te=12820)</t>
  </si>
  <si>
    <t>sun seg 2 pushed (ts=12820 te=25584)</t>
  </si>
  <si>
    <t>sun seg 3 pushed (ts=25584 te=38348)</t>
  </si>
  <si>
    <t>mw zenith band: alt&gt;70 eased yaw 76.5 -&gt; -76.5 over 175 min</t>
  </si>
  <si>
    <t>mw seg 0 pushed (ts=-12014 te=1558)</t>
  </si>
  <si>
    <t>mw seg 1 pushed (ts=1558 te=15131)</t>
  </si>
  <si>
    <t>mw seg 2 pushed (ts=15131 te=28703)</t>
  </si>
  <si>
    <t>mw seg 3 pushed (ts=28703 te=42276)</t>
  </si>
  <si>
    <t>moon seg 0 pushed (ts=-7252 te=2798)</t>
  </si>
  <si>
    <t>moon seg 1 pushed (ts=2798 te=12848)</t>
  </si>
  <si>
    <t>moon seg 2 pushed (ts=12848 te=22898)</t>
  </si>
  <si>
    <t>moon seg 3 pushed (ts=22898 te=32948)</t>
  </si>
  <si>
    <t>2026-06-08 20:42:21</t>
  </si>
  <si>
    <t>2026-06-08 20:42:22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</si>
</sst>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hh:mm"/>
    <numFmt numFmtId="166" formatCode="[$-F800]dddd\,\ mmmm\ dd\,\ yyyy"/>
    <numFmt numFmtId="167" formatCode="0.000"/>
    <numFmt numFmtId="168" formatCode="[$-F400]h:mm:ss\ AM/PM"/>
  </numFmts>
  <fonts count="29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0"/>
      <color rgb="FF000000"/>
      <name val="Arial Unicode MS"/>
    </font>
    <font>
      <b/>
      <i/>
      <sz val="11"/>
      <name val="Cambria"/>
      <family val="1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  <fill>
      <patternFill patternType="solid">
        <fgColor rgb="FFFFFFEE"/>
        <bgColor rgb="FFF0F0F0"/>
      </patternFill>
    </fill>
    <fill>
      <patternFill patternType="solid">
        <fgColor theme="0" tint="-0.14999847407452621"/>
        <bgColor rgb="FFF0F0F0"/>
      </patternFill>
    </fill>
    <fill>
      <patternFill patternType="solid">
        <fgColor rgb="FFFFFFCC"/>
        <bgColor indexed="64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7" fillId="0" borderId="0"/>
  </cellStyleXfs>
  <cellXfs count="96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8" fillId="4" borderId="1" xfId="0" quotePrefix="1" applyNumberFormat="1" applyFont="1" applyFill="1" applyBorder="1" applyAlignment="1">
      <alignment horizontal="left" vertical="center"/>
    </xf>
    <xf numFmtId="0" fontId="9" fillId="0" borderId="0" xfId="0" applyFont="1"/>
    <xf numFmtId="0" fontId="10" fillId="11" borderId="1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8" fillId="4" borderId="0" xfId="0" applyFont="1" applyFill="1" applyAlignment="1">
      <alignment horizontal="left" vertical="center"/>
    </xf>
    <xf numFmtId="166" fontId="0" fillId="0" borderId="0" xfId="0" applyNumberFormat="1"/>
    <xf numFmtId="22" fontId="0" fillId="12" borderId="9" xfId="0" applyNumberFormat="1" applyFill="1" applyBorder="1"/>
    <xf numFmtId="0" fontId="13" fillId="0" borderId="0" xfId="0" applyFont="1"/>
    <xf numFmtId="2" fontId="0" fillId="0" borderId="0" xfId="0" applyNumberFormat="1"/>
    <xf numFmtId="0" fontId="11" fillId="0" borderId="0" xfId="0" applyFont="1"/>
    <xf numFmtId="0" fontId="10" fillId="11" borderId="9" xfId="0" applyFont="1" applyFill="1" applyBorder="1"/>
    <xf numFmtId="0" fontId="14" fillId="0" borderId="0" xfId="0" applyFont="1"/>
    <xf numFmtId="0" fontId="16" fillId="13" borderId="9" xfId="0" applyFont="1" applyFill="1" applyBorder="1"/>
    <xf numFmtId="0" fontId="16" fillId="13" borderId="10" xfId="0" applyFont="1" applyFill="1" applyBorder="1"/>
    <xf numFmtId="0" fontId="16" fillId="13" borderId="12" xfId="0" applyFont="1" applyFill="1" applyBorder="1"/>
    <xf numFmtId="0" fontId="16" fillId="13" borderId="13" xfId="0" applyFont="1" applyFill="1" applyBorder="1"/>
    <xf numFmtId="0" fontId="10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8" fillId="0" borderId="0" xfId="2" applyFont="1"/>
    <xf numFmtId="0" fontId="17" fillId="0" borderId="0" xfId="2"/>
    <xf numFmtId="0" fontId="21" fillId="16" borderId="14" xfId="2" applyFont="1" applyFill="1" applyBorder="1" applyAlignment="1">
      <alignment horizontal="center"/>
    </xf>
    <xf numFmtId="0" fontId="19" fillId="17" borderId="14" xfId="2" applyFont="1" applyFill="1" applyBorder="1" applyAlignment="1">
      <alignment horizontal="center"/>
    </xf>
    <xf numFmtId="0" fontId="20" fillId="18" borderId="14" xfId="2" applyFont="1" applyFill="1" applyBorder="1" applyAlignment="1">
      <alignment horizontal="center"/>
    </xf>
    <xf numFmtId="0" fontId="20" fillId="19" borderId="14" xfId="2" applyFont="1" applyFill="1" applyBorder="1" applyAlignment="1">
      <alignment horizontal="center"/>
    </xf>
    <xf numFmtId="0" fontId="22" fillId="0" borderId="14" xfId="2" applyFont="1" applyBorder="1"/>
    <xf numFmtId="0" fontId="17" fillId="20" borderId="14" xfId="2" applyFill="1" applyBorder="1" applyAlignment="1">
      <alignment horizontal="center"/>
    </xf>
    <xf numFmtId="0" fontId="22" fillId="18" borderId="14" xfId="2" applyFont="1" applyFill="1" applyBorder="1" applyAlignment="1">
      <alignment horizontal="center"/>
    </xf>
    <xf numFmtId="0" fontId="22" fillId="21" borderId="14" xfId="2" applyFont="1" applyFill="1" applyBorder="1"/>
    <xf numFmtId="165" fontId="22" fillId="18" borderId="14" xfId="2" applyNumberFormat="1" applyFont="1" applyFill="1" applyBorder="1"/>
    <xf numFmtId="0" fontId="22" fillId="18" borderId="14" xfId="2" applyFont="1" applyFill="1" applyBorder="1"/>
    <xf numFmtId="0" fontId="17" fillId="22" borderId="14" xfId="2" applyFill="1" applyBorder="1" applyAlignment="1">
      <alignment horizontal="center"/>
    </xf>
    <xf numFmtId="0" fontId="22" fillId="21" borderId="0" xfId="2" applyFont="1" applyFill="1"/>
    <xf numFmtId="0" fontId="22" fillId="0" borderId="0" xfId="2" applyFont="1"/>
    <xf numFmtId="0" fontId="19" fillId="0" borderId="0" xfId="2" applyFont="1"/>
    <xf numFmtId="0" fontId="17" fillId="22" borderId="0" xfId="2" applyFill="1"/>
    <xf numFmtId="1" fontId="0" fillId="0" borderId="0" xfId="0" applyNumberFormat="1"/>
    <xf numFmtId="0" fontId="23" fillId="0" borderId="0" xfId="0" applyFont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22" fillId="0" borderId="0" xfId="2" applyFont="1" applyAlignment="1">
      <alignment horizontal="center"/>
    </xf>
    <xf numFmtId="0" fontId="22" fillId="0" borderId="0" xfId="2" quotePrefix="1" applyFont="1" applyAlignment="1">
      <alignment horizontal="center"/>
    </xf>
    <xf numFmtId="0" fontId="17" fillId="23" borderId="14" xfId="2" applyFill="1" applyBorder="1" applyAlignment="1">
      <alignment horizontal="center"/>
    </xf>
    <xf numFmtId="167" fontId="17" fillId="23" borderId="14" xfId="2" applyNumberFormat="1" applyFill="1" applyBorder="1" applyAlignment="1">
      <alignment horizontal="center"/>
    </xf>
    <xf numFmtId="0" fontId="24" fillId="16" borderId="14" xfId="2" applyFont="1" applyFill="1" applyBorder="1" applyAlignment="1">
      <alignment horizontal="center"/>
    </xf>
    <xf numFmtId="164" fontId="17" fillId="24" borderId="14" xfId="2" applyNumberFormat="1" applyFill="1" applyBorder="1" applyAlignment="1">
      <alignment horizontal="center" wrapText="1"/>
    </xf>
    <xf numFmtId="164" fontId="17" fillId="24" borderId="14" xfId="2" applyNumberFormat="1" applyFill="1" applyBorder="1" applyAlignment="1">
      <alignment horizontal="center"/>
    </xf>
    <xf numFmtId="168" fontId="0" fillId="12" borderId="9" xfId="0" applyNumberFormat="1" applyFill="1" applyBorder="1"/>
    <xf numFmtId="0" fontId="26" fillId="0" borderId="0" xfId="0" applyFont="1"/>
    <xf numFmtId="0" fontId="27" fillId="25" borderId="0" xfId="0" applyFont="1" applyFill="1"/>
    <xf numFmtId="0" fontId="13" fillId="0" borderId="16" xfId="0" applyFont="1" applyBorder="1"/>
    <xf numFmtId="0" fontId="28" fillId="0" borderId="0" xfId="2" applyFont="1"/>
    <xf numFmtId="0" fontId="10" fillId="11" borderId="15" xfId="0" applyFont="1" applyFill="1" applyBorder="1" applyAlignment="1">
      <alignment horizontal="center" vertical="center"/>
    </xf>
    <xf numFmtId="0" fontId="7" fillId="0" borderId="0" xfId="1"/>
    <xf numFmtId="0" fontId="15" fillId="11" borderId="11" xfId="0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0" fontId="12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9" fillId="14" borderId="0" xfId="2" applyFont="1" applyFill="1" applyAlignment="1">
      <alignment horizontal="center"/>
    </xf>
    <xf numFmtId="0" fontId="17" fillId="0" borderId="0" xfId="2"/>
    <xf numFmtId="0" fontId="20" fillId="15" borderId="0" xfId="2" applyFont="1" applyFill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7" fillId="13" borderId="0" xfId="2" applyFill="1"/>
    <xf numFmtId="0" fontId="17" fillId="0" borderId="0" xfId="2" applyAlignment="1"/>
    <xf numFmtId="0" fontId="17" fillId="13" borderId="0" xfId="2" applyFill="1" applyAlignment="1"/>
    <xf numFmtId="21" fontId="0" fillId="0" borderId="0" xfId="0" applyNumberFormat="1"/>
    <xf numFmtId="0" fontId="15" fillId="11" borderId="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2041AF8A-920C-4410-9914-F19718369982}"/>
  </cellStyles>
  <dxfs count="3"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5A7862B2-3C86-4450-9606-768A202F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D0-4323-961E-0D1A60F1E5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D6AB4C-96E3-4FE1-8041-6218D44C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D0-4323-961E-0D1A60F1E5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4D3AF0-EA23-4631-B160-F62C6A4A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D0-4323-961E-0D1A60F1E5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08DBAD-B9F3-4A0B-BFB0-723408D2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D0-4323-961E-0D1A60F1E5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7E9D3E-B30B-4D6D-9B08-54A8CD73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D0-4323-961E-0D1A60F1E5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BE9C50-6DCC-44F5-BBFA-3B75CA07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D0-4323-961E-0D1A60F1E5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479A99-DA26-4C07-ACBC-F1442CF4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D0-4323-961E-0D1A60F1E5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0EAA8D-0E50-4B77-AEC6-9185732E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D0-4323-961E-0D1A60F1E5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23111F-2791-4FCA-885C-BFC0C664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D0-4323-961E-0D1A60F1E5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4C4855-EDEC-439B-BEC9-7F9DD780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D0-4323-961E-0D1A60F1E5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6D1A35-4E77-480B-B843-FEE1C164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D0-4323-961E-0D1A60F1E5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587C46-3B4F-475E-956A-19BFED96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D0-4323-961E-0D1A60F1E5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D3B00B-23DF-48EC-9DA4-DEBCA580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D0-4323-961E-0D1A60F1E5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04850D-B9E4-485F-B110-27B420CC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D0-4323-961E-0D1A60F1E5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FE0576-C776-4DEC-B205-107094A2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D0-4323-961E-0D1A60F1E5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89C3024-FD1A-4286-9BB7-B12CD5BE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D0-4323-961E-0D1A60F1E5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A09F5D-ABF1-41C9-8747-649D4072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D0-4323-961E-0D1A60F1E5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1094E5-30CD-44BB-A0DA-E71D4B6B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D0-4323-961E-0D1A60F1E5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2DF7BC-606C-4B24-A74E-7D300C83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D0-4323-961E-0D1A60F1E5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92418D-72EF-48CB-99CB-BA6675AD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D0-4323-961E-0D1A60F1E5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C54826-6928-4BFA-99F2-21E45970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D0-4323-961E-0D1A60F1E5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7E1966-D5F0-4F04-9CE9-CE676AAB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D0-4323-961E-0D1A60F1E5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0BDA48-8872-4229-B1A9-638B7A1A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D0-4323-961E-0D1A60F1E5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9D487A-D041-4D20-BC47-D925547D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D0-4323-961E-0D1A60F1E5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192A27-9D0D-47C3-8C98-DC6BD35D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D0-4323-961E-0D1A60F1E5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A02130-B435-45C4-97EF-1DC775D7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D0-4323-961E-0D1A60F1E5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FCFF4E-2778-4841-B2EA-21B81C03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D0-4323-961E-0D1A60F1E5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5DA909-745B-4EEA-9175-1F3A8DC9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D0-4323-961E-0D1A60F1E5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E339AB-D15E-45B8-90AF-428E7E8E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D0-4323-961E-0D1A60F1E5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4BC405-E533-4C82-8208-36AA8FDC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D0-4323-961E-0D1A60F1E5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82D8A5-5D6B-48FA-91CE-212395A1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D0-4323-961E-0D1A60F1E5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8804DF-DA66-4195-AE66-4507176B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D0-4323-961E-0D1A60F1E5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5727DF-D0DE-4E58-9EF3-3557B5E0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D0-4323-961E-0D1A60F1E5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C35189-4C36-45CB-8744-428BF8EA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D0-4323-961E-0D1A60F1E5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6DC762-F372-48E5-894C-363F7BC1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D0-4323-961E-0D1A60F1E5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55BA51-3085-43FB-82F2-B4B1FAD9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D0-4323-961E-0D1A60F1E5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6DF2CD-16DE-4A50-BE9E-B678E8A3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D0-4323-961E-0D1A60F1E5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35D4FE-8721-4150-BC9E-3DCDD656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D0-4323-961E-0D1A60F1E5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26F990-287E-44B2-B6FC-7794BCBE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D0-4323-961E-0D1A60F1E5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366707-C669-4200-BF92-C368B979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D0-4323-961E-0D1A60F1E5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3F78F9-9212-4A06-87DE-4552BBFE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D0-4323-961E-0D1A60F1E5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81A1A3-2AC8-4A17-9DBC-FF14D38B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D0-4323-961E-0D1A60F1E5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F82D3B-6FF3-4067-A800-91EAF17D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D0-4323-961E-0D1A60F1E5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8365CA-14F3-4403-B20A-18FEFA39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D0-4323-961E-0D1A60F1E5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2515E0-C05E-4CEE-8081-B94AA448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D0-4323-961E-0D1A60F1E5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2AA653-A9D7-4A44-80EE-2B2B4571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D0-4323-961E-0D1A60F1E5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C7217C-E5EE-4186-9385-87FB2E40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D0-4323-961E-0D1A60F1E5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7DD418-320A-4BE4-8DA0-1ED7B8DA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D0-4323-961E-0D1A60F1E5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3073A5-C05F-4AE0-A8C7-E35D1A44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D0-4323-961E-0D1A60F1E5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253CB8-DEE8-45D5-ACF5-FC209C5A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D0-4323-961E-0D1A60F1E5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72944E-7B61-42A4-A0A8-9743CF0D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D0-4323-961E-0D1A60F1E5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EDD6EA-1B16-4E0E-894F-6541EE3E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D0-4323-961E-0D1A60F1E5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EA6E36-6301-44FA-A828-BCECCB31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D0-4323-961E-0D1A60F1E5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3D44F7-1D00-4191-82E9-EAA35D91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D0-4323-961E-0D1A60F1E5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3EBF69-14F3-4FE1-8698-CA59D4A5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D0-4323-961E-0D1A60F1E5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45AE31-9804-4F42-9556-EE2D0A28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D0-4323-961E-0D1A60F1E5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D0B138-84B6-4EC1-B05A-9B5EAF96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D0-4323-961E-0D1A60F1E5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F9180A-E04E-4C9C-9668-CBEE2F9A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D0-4323-961E-0D1A60F1E5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56DC1F-E6A7-412C-A046-6180A224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D0-4323-961E-0D1A60F1E5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F172CB-43D3-41FC-B41B-02D453BDC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D0-4323-961E-0D1A60F1E5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34265F-97A2-49FD-83FA-0BC012ED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D0-4323-961E-0D1A60F1E5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8E1B8A-EE73-4712-8CC8-8C104CBC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D0-4323-961E-0D1A60F1E5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7BEB25-63EC-44A3-BD97-ACC50659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D0-4323-961E-0D1A60F1E5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7DE87B-04C5-4627-A385-EBDD3A65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D0-4323-961E-0D1A60F1E5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166476-CCD3-4EBF-8E01-CC0DD213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D0-4323-961E-0D1A60F1E5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C601F2-86B3-437F-80C5-2B7BEF86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D0-4323-961E-0D1A60F1E5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9.2021418959680132E-20</c:v>
                </c:pt>
                <c:pt idx="4">
                  <c:v>6.9016064219760103E-19</c:v>
                </c:pt>
                <c:pt idx="5" formatCode="General">
                  <c:v>1.2422891559556818E-18</c:v>
                </c:pt>
                <c:pt idx="6" formatCode="General">
                  <c:v>1.6563855412742424E-18</c:v>
                </c:pt>
                <c:pt idx="7" formatCode="General">
                  <c:v>3.6003380167974856E-18</c:v>
                </c:pt>
                <c:pt idx="8" formatCode="General">
                  <c:v>5.0381726880424875E-18</c:v>
                </c:pt>
                <c:pt idx="9" formatCode="General">
                  <c:v>8.6385107048399731E-18</c:v>
                </c:pt>
                <c:pt idx="10" formatCode="General">
                  <c:v>1.2003043835553278E-17</c:v>
                </c:pt>
                <c:pt idx="11" formatCode="General">
                  <c:v>1.8691850726185026E-17</c:v>
                </c:pt>
                <c:pt idx="12" formatCode="General">
                  <c:v>2.5518689745256296E-17</c:v>
                </c:pt>
                <c:pt idx="13" formatCode="General">
                  <c:v>3.0528105739873884E-17</c:v>
                </c:pt>
                <c:pt idx="14" formatCode="General">
                  <c:v>4.1139325613661998E-17</c:v>
                </c:pt>
                <c:pt idx="15" formatCode="General">
                  <c:v>3.4535063401699457E-16</c:v>
                </c:pt>
                <c:pt idx="16" formatCode="General">
                  <c:v>1.0241696363278151E-15</c:v>
                </c:pt>
                <c:pt idx="17" formatCode="General">
                  <c:v>2.5572924869055658E-15</c:v>
                </c:pt>
                <c:pt idx="18" formatCode="General">
                  <c:v>-1.4491935498845958E-5</c:v>
                </c:pt>
                <c:pt idx="19" formatCode="General">
                  <c:v>-1.2032438074806057E-4</c:v>
                </c:pt>
                <c:pt idx="20" formatCode="General">
                  <c:v>-2.5986370236516678E-4</c:v>
                </c:pt>
                <c:pt idx="21" formatCode="General">
                  <c:v>-6.9171559710565211E-4</c:v>
                </c:pt>
                <c:pt idx="22" formatCode="General">
                  <c:v>-1.2673031429824922E-3</c:v>
                </c:pt>
                <c:pt idx="23" formatCode="General">
                  <c:v>-2.1744932267228037E-3</c:v>
                </c:pt>
                <c:pt idx="24" formatCode="General">
                  <c:v>-5.3760173200630102E-3</c:v>
                </c:pt>
                <c:pt idx="25" formatCode="General">
                  <c:v>-1.0349913275575056E-2</c:v>
                </c:pt>
                <c:pt idx="26" formatCode="General">
                  <c:v>-1.5722032259689451E-2</c:v>
                </c:pt>
                <c:pt idx="27" formatCode="General">
                  <c:v>-2.7554638212066142E-2</c:v>
                </c:pt>
                <c:pt idx="28" formatCode="General">
                  <c:v>-4.2757308676001665E-2</c:v>
                </c:pt>
                <c:pt idx="29" formatCode="General">
                  <c:v>-6.8638913833931295E-2</c:v>
                </c:pt>
                <c:pt idx="30" formatCode="General">
                  <c:v>-0.10052531351389625</c:v>
                </c:pt>
                <c:pt idx="31" formatCode="General">
                  <c:v>-0.13828651790660593</c:v>
                </c:pt>
                <c:pt idx="32" formatCode="General">
                  <c:v>-0.18176858765838952</c:v>
                </c:pt>
                <c:pt idx="33" formatCode="General">
                  <c:v>-0.2307942614286336</c:v>
                </c:pt>
                <c:pt idx="34" formatCode="General">
                  <c:v>-0.28516367852288155</c:v>
                </c:pt>
                <c:pt idx="35" formatCode="General">
                  <c:v>-0.34465519365567376</c:v>
                </c:pt>
                <c:pt idx="36" formatCode="General">
                  <c:v>-0.40902628052162088</c:v>
                </c:pt>
                <c:pt idx="37" formatCode="General">
                  <c:v>-0.47801452049116505</c:v>
                </c:pt>
                <c:pt idx="38" formatCode="General">
                  <c:v>-0.5513386724004562</c:v>
                </c:pt>
                <c:pt idx="39" formatCode="General">
                  <c:v>-0.62869981907418515</c:v>
                </c:pt>
                <c:pt idx="40" formatCode="General">
                  <c:v>-0.70978258590739252</c:v>
                </c:pt>
                <c:pt idx="41" formatCode="General">
                  <c:v>-0.79425642653851902</c:v>
                </c:pt>
                <c:pt idx="42" formatCode="General">
                  <c:v>-0.88177697037245417</c:v>
                </c:pt>
                <c:pt idx="43" formatCode="General">
                  <c:v>-0.97198742646019753</c:v>
                </c:pt>
                <c:pt idx="44" formatCode="General">
                  <c:v>-1.0645200380120019</c:v>
                </c:pt>
                <c:pt idx="45" formatCode="General">
                  <c:v>-1.1589975816144513</c:v>
                </c:pt>
                <c:pt idx="46" formatCode="General">
                  <c:v>-1.2550349050396861</c:v>
                </c:pt>
                <c:pt idx="47" formatCode="General">
                  <c:v>-1.3522404973776578</c:v>
                </c:pt>
                <c:pt idx="48" formatCode="General">
                  <c:v>-1.4502180850905306</c:v>
                </c:pt>
                <c:pt idx="49" formatCode="General">
                  <c:v>-1.5485682474826654</c:v>
                </c:pt>
                <c:pt idx="50" formatCode="General">
                  <c:v>-1.646890045000478</c:v>
                </c:pt>
                <c:pt idx="51" formatCode="General">
                  <c:v>-1.744782653724154</c:v>
                </c:pt>
                <c:pt idx="52" formatCode="General">
                  <c:v>-1.8418469993879654</c:v>
                </c:pt>
                <c:pt idx="53" formatCode="General">
                  <c:v>-1.9376873842678533</c:v>
                </c:pt>
                <c:pt idx="54" formatCode="General">
                  <c:v>-2.0319131003040192</c:v>
                </c:pt>
                <c:pt idx="55" formatCode="General">
                  <c:v>-2.1241400218823836</c:v>
                </c:pt>
                <c:pt idx="56" formatCode="General">
                  <c:v>-2.2139921717816926</c:v>
                </c:pt>
                <c:pt idx="57" formatCode="General">
                  <c:v>-2.3011032539024479</c:v>
                </c:pt>
                <c:pt idx="58" formatCode="General">
                  <c:v>-2.3851181465292584</c:v>
                </c:pt>
                <c:pt idx="59" formatCode="General">
                  <c:v>-2.4656943500390942</c:v>
                </c:pt>
                <c:pt idx="60" formatCode="General">
                  <c:v>-2.542503383153643</c:v>
                </c:pt>
                <c:pt idx="61" formatCode="General">
                  <c:v>-2.6408206423361209</c:v>
                </c:pt>
                <c:pt idx="62" formatCode="General">
                  <c:v>-2.7418460415918888</c:v>
                </c:pt>
                <c:pt idx="63" formatCode="General">
                  <c:v>-2.7791712765150569</c:v>
                </c:pt>
                <c:pt idx="64" formatCode="General">
                  <c:v>-3.1261664415578863</c:v>
                </c:pt>
                <c:pt idx="65" formatCode="General">
                  <c:v>-3.1261664415578863</c:v>
                </c:pt>
              </c:numCache>
            </c:numRef>
          </c:xVal>
          <c:yVal>
            <c:numRef>
              <c:f>Trace!$C$2:$C$67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-2.8479999999999998E-5</c:v>
                </c:pt>
                <c:pt idx="4">
                  <c:v>-2.1359999999999999E-4</c:v>
                </c:pt>
                <c:pt idx="5" formatCode="General">
                  <c:v>-3.8447999999999998E-4</c:v>
                </c:pt>
                <c:pt idx="6" formatCode="General">
                  <c:v>-5.1263999999999997E-4</c:v>
                </c:pt>
                <c:pt idx="7" formatCode="General">
                  <c:v>-1.11428E-3</c:v>
                </c:pt>
                <c:pt idx="8" formatCode="General">
                  <c:v>-1.5592800000000001E-3</c:v>
                </c:pt>
                <c:pt idx="9" formatCode="General">
                  <c:v>-2.6735600000000002E-3</c:v>
                </c:pt>
                <c:pt idx="10" formatCode="General">
                  <c:v>-3.7148600000000004E-3</c:v>
                </c:pt>
                <c:pt idx="11" formatCode="General">
                  <c:v>-5.7850000000000002E-3</c:v>
                </c:pt>
                <c:pt idx="12" formatCode="General">
                  <c:v>-7.8978599999999996E-3</c:v>
                </c:pt>
                <c:pt idx="13" formatCode="General">
                  <c:v>-9.4482400000000001E-3</c:v>
                </c:pt>
                <c:pt idx="14" formatCode="General">
                  <c:v>-1.273234E-2</c:v>
                </c:pt>
                <c:pt idx="15" formatCode="General">
                  <c:v>-0.10688365999999999</c:v>
                </c:pt>
                <c:pt idx="16" formatCode="General">
                  <c:v>-0.31697350000000002</c:v>
                </c:pt>
                <c:pt idx="17" formatCode="General">
                  <c:v>-0.79146453999999999</c:v>
                </c:pt>
                <c:pt idx="18" formatCode="General">
                  <c:v>-0.80942829220592749</c:v>
                </c:pt>
                <c:pt idx="19" formatCode="General">
                  <c:v>-0.83590911565870818</c:v>
                </c:pt>
                <c:pt idx="20" formatCode="General">
                  <c:v>-0.85216880377077131</c:v>
                </c:pt>
                <c:pt idx="21" formatCode="General">
                  <c:v>-0.87957550866483225</c:v>
                </c:pt>
                <c:pt idx="22" formatCode="General">
                  <c:v>-0.90186782291558532</c:v>
                </c:pt>
                <c:pt idx="23" formatCode="General">
                  <c:v>-0.92600876470047</c:v>
                </c:pt>
                <c:pt idx="24" formatCode="General">
                  <c:v>-0.978250921723547</c:v>
                </c:pt>
                <c:pt idx="25" formatCode="General">
                  <c:v>-1.030354214191181</c:v>
                </c:pt>
                <c:pt idx="26" formatCode="General">
                  <c:v>-1.072755240983531</c:v>
                </c:pt>
                <c:pt idx="27" formatCode="General">
                  <c:v>-1.1444858703700749</c:v>
                </c:pt>
                <c:pt idx="28" formatCode="General">
                  <c:v>-1.2155785744020564</c:v>
                </c:pt>
                <c:pt idx="29" formatCode="General">
                  <c:v>-1.310500490504628</c:v>
                </c:pt>
                <c:pt idx="30" formatCode="General">
                  <c:v>-1.40357726074073</c:v>
                </c:pt>
                <c:pt idx="31" formatCode="General">
                  <c:v>-1.4944294433504319</c:v>
                </c:pt>
                <c:pt idx="32" formatCode="General">
                  <c:v>-1.5826866654471852</c:v>
                </c:pt>
                <c:pt idx="33" formatCode="General">
                  <c:v>-1.6679891328998224</c:v>
                </c:pt>
                <c:pt idx="34" formatCode="General">
                  <c:v>-1.7499890970886336</c:v>
                </c:pt>
                <c:pt idx="35" formatCode="General">
                  <c:v>-1.8283522725560646</c:v>
                </c:pt>
                <c:pt idx="36" formatCode="General">
                  <c:v>-1.9027591997727644</c:v>
                </c:pt>
                <c:pt idx="37" formatCode="General">
                  <c:v>-1.9729065474634593</c:v>
                </c:pt>
                <c:pt idx="38" formatCode="General">
                  <c:v>-2.038508349183517</c:v>
                </c:pt>
                <c:pt idx="39" formatCode="General">
                  <c:v>-2.0992971691051134</c:v>
                </c:pt>
                <c:pt idx="40" formatCode="General">
                  <c:v>-2.1550251922604904</c:v>
                </c:pt>
                <c:pt idx="41" formatCode="General">
                  <c:v>-2.2054652347977597</c:v>
                </c:pt>
                <c:pt idx="42" formatCode="General">
                  <c:v>-2.250411670130795</c:v>
                </c:pt>
                <c:pt idx="43" formatCode="General">
                  <c:v>-2.289681267207615</c:v>
                </c:pt>
                <c:pt idx="44" formatCode="General">
                  <c:v>-2.3231139374799303</c:v>
                </c:pt>
                <c:pt idx="45" formatCode="General">
                  <c:v>-2.3505733875287156</c:v>
                </c:pt>
                <c:pt idx="46" formatCode="General">
                  <c:v>-2.371947674685281</c:v>
                </c:pt>
                <c:pt idx="47" formatCode="General">
                  <c:v>-2.3871496633827674</c:v>
                </c:pt>
                <c:pt idx="48" formatCode="General">
                  <c:v>-2.3961173803776772</c:v>
                </c:pt>
                <c:pt idx="49" formatCode="General">
                  <c:v>-2.3988142673933268</c:v>
                </c:pt>
                <c:pt idx="50" formatCode="General">
                  <c:v>-2.3952293301552809</c:v>
                </c:pt>
                <c:pt idx="51" formatCode="General">
                  <c:v>-2.385377183211201</c:v>
                </c:pt>
                <c:pt idx="52" formatCode="General">
                  <c:v>-2.3692979903523974</c:v>
                </c:pt>
                <c:pt idx="53" formatCode="General">
                  <c:v>-2.3470573008799587</c:v>
                </c:pt>
                <c:pt idx="54" formatCode="General">
                  <c:v>-2.3187457823829525</c:v>
                </c:pt>
                <c:pt idx="55" formatCode="General">
                  <c:v>-2.2844788511180627</c:v>
                </c:pt>
                <c:pt idx="56" formatCode="General">
                  <c:v>-2.2443962014974774</c:v>
                </c:pt>
                <c:pt idx="57" formatCode="General">
                  <c:v>-2.1986612366031486</c:v>
                </c:pt>
                <c:pt idx="58" formatCode="General">
                  <c:v>-2.1474604020490125</c:v>
                </c:pt>
                <c:pt idx="59" formatCode="General">
                  <c:v>-2.0910024259067876</c:v>
                </c:pt>
                <c:pt idx="60" formatCode="General">
                  <c:v>-2.0295174677939078</c:v>
                </c:pt>
                <c:pt idx="61" formatCode="General">
                  <c:v>-1.9455275798760434</c:v>
                </c:pt>
                <c:pt idx="62" formatCode="General">
                  <c:v>-1.8592241980394832</c:v>
                </c:pt>
                <c:pt idx="63" formatCode="General">
                  <c:v>-1.8273382166383298</c:v>
                </c:pt>
                <c:pt idx="64" formatCode="General">
                  <c:v>-1.5309092349689324</c:v>
                </c:pt>
                <c:pt idx="65" formatCode="General">
                  <c:v>-1.5309092349689324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Trace!$H$2:$H$67</c15:f>
                <c15:dlblRangeCache>
                  <c:ptCount val="66"/>
                  <c:pt idx="1">
                    <c:v>3</c:v>
                  </c:pt>
                  <c:pt idx="17">
                    <c:v>19</c:v>
                  </c:pt>
                  <c:pt idx="18">
                    <c:v>20</c:v>
                  </c:pt>
                  <c:pt idx="19">
                    <c:v>21</c:v>
                  </c:pt>
                  <c:pt idx="20">
                    <c:v>22</c:v>
                  </c:pt>
                  <c:pt idx="21">
                    <c:v>23</c:v>
                  </c:pt>
                  <c:pt idx="22">
                    <c:v>24</c:v>
                  </c:pt>
                  <c:pt idx="23">
                    <c:v>25</c:v>
                  </c:pt>
                  <c:pt idx="26">
                    <c:v>27</c:v>
                  </c:pt>
                  <c:pt idx="60">
                    <c:v>29</c:v>
                  </c:pt>
                  <c:pt idx="62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CD0-4323-961E-0D1A60F1E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36831"/>
        <c:axId val="1074937311"/>
      </c:scatterChart>
      <c:valAx>
        <c:axId val="107493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7311"/>
        <c:crosses val="autoZero"/>
        <c:crossBetween val="midCat"/>
      </c:valAx>
      <c:valAx>
        <c:axId val="107493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683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Gimbal Plan - validation (cumulative yaw vs pitch)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Path</c:v>
          </c:tx>
          <c:spPr>
            <a:ln w="25400">
              <a:solidFill>
                <a:srgbClr val="3266AD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266AD"/>
              </a:solidFill>
              <a:ln>
                <a:solidFill>
                  <a:srgbClr val="3266AD"/>
                </a:solidFill>
                <a:prstDash val="solid"/>
              </a:ln>
            </c:spPr>
          </c:marker>
          <c:xVal>
            <c:numRef>
              <c:f>GimbalViz!$C$15:$C$19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GimbalViz!$D$15:$D$19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70-4047-8DCE-ECFF61C16F5E}"/>
            </c:ext>
          </c:extLst>
        </c:ser>
        <c:ser>
          <c:idx val="1"/>
          <c:order val="1"/>
          <c:tx>
            <c:v>Fast yaw</c:v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DC1E1E"/>
              </a:solidFill>
              <a:ln>
                <a:solidFill>
                  <a:srgbClr val="DC1E1E"/>
                </a:solidFill>
                <a:prstDash val="solid"/>
              </a:ln>
            </c:spPr>
          </c:marker>
          <c:xVal>
            <c:numRef>
              <c:f>GimbalViz!$C$15:$C$19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GimbalViz!$G$15:$G$19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70-4047-8DCE-ECFF61C16F5E}"/>
            </c:ext>
          </c:extLst>
        </c:ser>
        <c:ser>
          <c:idx val="2"/>
          <c:order val="2"/>
          <c:tx>
            <c:v>Pitch limit</c:v>
          </c:tx>
          <c:spPr>
            <a:ln>
              <a:solidFill>
                <a:srgbClr val="8C8C8C"/>
              </a:solidFill>
              <a:prstDash val="lgDash"/>
            </a:ln>
          </c:spPr>
          <c:marker>
            <c:symbol val="none"/>
          </c:marker>
          <c:xVal>
            <c:numRef>
              <c:f>GimbalViz!$I$15:$I$16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GimbalViz!$J$15:$J$16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70-4047-8DCE-ECFF61C1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081216"/>
        <c:axId val="1002078816"/>
      </c:scatterChart>
      <c:valAx>
        <c:axId val="100208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yaw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78816"/>
        <c:crosses val="autoZero"/>
        <c:crossBetween val="midCat"/>
      </c:valAx>
      <c:valAx>
        <c:axId val="10020788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Pitch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81216"/>
        <c:crosses val="autoZero"/>
        <c:crossBetween val="midCat"/>
        <c:majorUnit val="1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30</xdr:row>
      <xdr:rowOff>0</xdr:rowOff>
    </xdr:from>
    <xdr:to>
      <xdr:col>17</xdr:col>
      <xdr:colOff>501949</xdr:colOff>
      <xdr:row>51</xdr:row>
      <xdr:rowOff>95454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9A8543-02FD-15D2-32B0-F5C42217F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7100" y="5645150"/>
          <a:ext cx="5816899" cy="3962604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13</xdr:col>
      <xdr:colOff>1250950</xdr:colOff>
      <xdr:row>25</xdr:row>
      <xdr:rowOff>152400</xdr:rowOff>
    </xdr:to>
    <xdr:graphicFrame macro="">
      <xdr:nvGraphicFramePr>
        <xdr:cNvPr id="2" name="TraceChart">
          <a:extLst>
            <a:ext uri="{FF2B5EF4-FFF2-40B4-BE49-F238E27FC236}">
              <a16:creationId xmlns:a16="http://schemas.microsoft.com/office/drawing/2014/main" id="{6650BB0E-A780-FC75-957C-335BACDE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19</xdr:col>
      <xdr:colOff>406400</xdr:colOff>
      <xdr:row>25</xdr:row>
      <xdr:rowOff>152400</xdr:rowOff>
    </xdr:to>
    <xdr:graphicFrame macro="">
      <xdr:nvGraphicFramePr>
        <xdr:cNvPr id="3" name="GimbalPlanChart">
          <a:extLst>
            <a:ext uri="{FF2B5EF4-FFF2-40B4-BE49-F238E27FC236}">
              <a16:creationId xmlns:a16="http://schemas.microsoft.com/office/drawing/2014/main" id="{545683F3-8D6E-D4A2-EDDC-0820266BE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kippysky.com.au/Compact/Australia/Compact_Oz_Stockport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AD25"/>
  <sheetViews>
    <sheetView workbookViewId="0">
      <selection activeCell="R13" sqref="R13"/>
    </sheetView>
  </sheetViews>
  <sheetFormatPr defaultRowHeight="14.5"/>
  <cols>
    <col min="3" max="3" width="28.6328125" customWidth="1"/>
  </cols>
  <sheetData>
    <row r="1" spans="3:30" ht="18.5">
      <c r="C1" s="14" t="s">
        <v>86</v>
      </c>
    </row>
    <row r="3" spans="3:30" ht="24" customHeight="1">
      <c r="C3" s="15" t="s">
        <v>87</v>
      </c>
      <c r="E3" s="66" t="s">
        <v>443</v>
      </c>
    </row>
    <row r="4" spans="3:30" ht="24" customHeight="1">
      <c r="C4" s="31" t="s">
        <v>88</v>
      </c>
      <c r="AB4" t="s">
        <v>377</v>
      </c>
      <c r="AC4" t="s">
        <v>378</v>
      </c>
      <c r="AD4" t="s">
        <v>379</v>
      </c>
    </row>
    <row r="5" spans="3:30" ht="24" customHeight="1">
      <c r="C5" s="52" t="s">
        <v>89</v>
      </c>
      <c r="AB5" t="s">
        <v>380</v>
      </c>
      <c r="AC5" t="s">
        <v>258</v>
      </c>
      <c r="AD5" t="s">
        <v>381</v>
      </c>
    </row>
    <row r="6" spans="3:30" ht="24" customHeight="1">
      <c r="C6" s="15" t="s">
        <v>90</v>
      </c>
      <c r="N6" t="s">
        <v>352</v>
      </c>
      <c r="AB6" t="s">
        <v>382</v>
      </c>
      <c r="AC6" t="s">
        <v>264</v>
      </c>
      <c r="AD6" t="s">
        <v>383</v>
      </c>
    </row>
    <row r="7" spans="3:30" ht="24" customHeight="1">
      <c r="C7" s="15" t="s">
        <v>91</v>
      </c>
      <c r="AB7" t="s">
        <v>384</v>
      </c>
      <c r="AC7" t="s">
        <v>265</v>
      </c>
      <c r="AD7" t="s">
        <v>385</v>
      </c>
    </row>
    <row r="8" spans="3:30" ht="24" customHeight="1">
      <c r="C8" s="31" t="s">
        <v>92</v>
      </c>
      <c r="H8" t="s">
        <v>343</v>
      </c>
      <c r="N8" t="s">
        <v>353</v>
      </c>
      <c r="AB8" t="s">
        <v>386</v>
      </c>
      <c r="AC8" t="s">
        <v>266</v>
      </c>
      <c r="AD8" t="s">
        <v>387</v>
      </c>
    </row>
    <row r="9" spans="3:30" ht="24" customHeight="1">
      <c r="C9" s="52" t="s">
        <v>100</v>
      </c>
      <c r="H9" t="s">
        <v>344</v>
      </c>
      <c r="N9" t="s">
        <v>354</v>
      </c>
      <c r="AB9" t="s">
        <v>388</v>
      </c>
      <c r="AC9" t="s">
        <v>267</v>
      </c>
      <c r="AD9" t="s">
        <v>389</v>
      </c>
    </row>
    <row r="10" spans="3:30" ht="24" customHeight="1">
      <c r="C10" s="15" t="s">
        <v>110</v>
      </c>
      <c r="H10" t="s">
        <v>345</v>
      </c>
      <c r="N10" t="s">
        <v>355</v>
      </c>
      <c r="AB10" t="s">
        <v>390</v>
      </c>
      <c r="AC10" t="s">
        <v>268</v>
      </c>
      <c r="AD10" t="s">
        <v>391</v>
      </c>
    </row>
    <row r="11" spans="3:30" ht="24" customHeight="1">
      <c r="C11" s="15" t="s">
        <v>111</v>
      </c>
      <c r="H11" t="s">
        <v>346</v>
      </c>
      <c r="AB11" t="s">
        <v>101</v>
      </c>
      <c r="AC11" t="s">
        <v>69</v>
      </c>
      <c r="AD11" t="s">
        <v>392</v>
      </c>
    </row>
    <row r="12" spans="3:30" ht="24" customHeight="1">
      <c r="C12" s="32" t="s">
        <v>195</v>
      </c>
      <c r="H12" t="s">
        <v>347</v>
      </c>
      <c r="AB12" t="s">
        <v>102</v>
      </c>
      <c r="AC12" t="s">
        <v>269</v>
      </c>
      <c r="AD12" t="s">
        <v>393</v>
      </c>
    </row>
    <row r="13" spans="3:30" ht="24" customHeight="1">
      <c r="C13" s="32" t="s">
        <v>196</v>
      </c>
      <c r="N13" t="s">
        <v>357</v>
      </c>
      <c r="AB13" t="s">
        <v>394</v>
      </c>
      <c r="AC13" t="s">
        <v>270</v>
      </c>
      <c r="AD13" t="s">
        <v>395</v>
      </c>
    </row>
    <row r="14" spans="3:30" ht="24" customHeight="1">
      <c r="C14" s="15" t="s">
        <v>93</v>
      </c>
      <c r="H14" t="s">
        <v>348</v>
      </c>
      <c r="AB14" t="s">
        <v>396</v>
      </c>
      <c r="AC14" t="s">
        <v>397</v>
      </c>
      <c r="AD14" t="s">
        <v>398</v>
      </c>
    </row>
    <row r="15" spans="3:30" ht="24" customHeight="1">
      <c r="C15" s="32" t="s">
        <v>94</v>
      </c>
      <c r="AB15" t="s">
        <v>324</v>
      </c>
      <c r="AC15" t="s">
        <v>399</v>
      </c>
      <c r="AD15" t="s">
        <v>400</v>
      </c>
    </row>
    <row r="16" spans="3:30" ht="24" customHeight="1">
      <c r="C16" s="15" t="s">
        <v>251</v>
      </c>
      <c r="H16" t="s">
        <v>349</v>
      </c>
      <c r="N16" t="s">
        <v>356</v>
      </c>
      <c r="AB16" t="s">
        <v>401</v>
      </c>
      <c r="AC16" t="s">
        <v>402</v>
      </c>
      <c r="AD16" t="s">
        <v>403</v>
      </c>
    </row>
    <row r="17" spans="3:30" ht="24" customHeight="1">
      <c r="C17" s="32" t="s">
        <v>436</v>
      </c>
      <c r="H17" t="s">
        <v>350</v>
      </c>
      <c r="AB17" t="s">
        <v>404</v>
      </c>
      <c r="AC17" t="s">
        <v>405</v>
      </c>
      <c r="AD17" t="s">
        <v>406</v>
      </c>
    </row>
    <row r="18" spans="3:30">
      <c r="C18" s="31" t="s">
        <v>444</v>
      </c>
      <c r="H18" t="s">
        <v>351</v>
      </c>
      <c r="L18" t="s">
        <v>341</v>
      </c>
      <c r="N18" t="s">
        <v>341</v>
      </c>
      <c r="AB18" t="s">
        <v>407</v>
      </c>
      <c r="AC18" t="s">
        <v>275</v>
      </c>
      <c r="AD18" t="s">
        <v>408</v>
      </c>
    </row>
    <row r="19" spans="3:30">
      <c r="C19" s="65" t="s">
        <v>442</v>
      </c>
      <c r="L19" t="s">
        <v>360</v>
      </c>
      <c r="N19" t="s">
        <v>342</v>
      </c>
      <c r="AB19" t="s">
        <v>409</v>
      </c>
      <c r="AC19" t="s">
        <v>276</v>
      </c>
      <c r="AD19" t="s">
        <v>410</v>
      </c>
    </row>
    <row r="20" spans="3:30">
      <c r="C20" s="67" t="s">
        <v>252</v>
      </c>
      <c r="N20" t="s">
        <v>358</v>
      </c>
      <c r="AB20" t="s">
        <v>411</v>
      </c>
      <c r="AC20" t="s">
        <v>263</v>
      </c>
      <c r="AD20" t="s">
        <v>412</v>
      </c>
    </row>
    <row r="21" spans="3:30">
      <c r="C21" s="32" t="s">
        <v>579</v>
      </c>
    </row>
    <row r="22" spans="3:30">
      <c r="C22" s="32" t="s">
        <v>580</v>
      </c>
    </row>
    <row r="23" spans="3:30">
      <c r="C23" s="95" t="s">
        <v>581</v>
      </c>
    </row>
    <row r="24" spans="3:30">
      <c r="C24" s="16" t="s">
        <v>95</v>
      </c>
    </row>
    <row r="25" spans="3:30">
      <c r="C25" s="16" t="s">
        <v>95</v>
      </c>
    </row>
  </sheetData>
  <hyperlinks>
    <hyperlink ref="E3" r:id="rId1" xr:uid="{05E63C4D-E7A5-4389-AB40-E564DD5656D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5"/>
  <sheetViews>
    <sheetView showGridLines="0" tabSelected="1" topLeftCell="A17" workbookViewId="0">
      <selection activeCell="H20" sqref="H20"/>
    </sheetView>
  </sheetViews>
  <sheetFormatPr defaultRowHeight="14.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>
      <c r="A1" s="71" t="s">
        <v>0</v>
      </c>
      <c r="B1" s="70"/>
      <c r="C1" s="70"/>
      <c r="D1" s="70"/>
      <c r="E1" s="70"/>
      <c r="F1" s="70"/>
    </row>
    <row r="3" spans="1:11">
      <c r="B3" s="74" t="s">
        <v>1</v>
      </c>
      <c r="C3" s="70"/>
    </row>
    <row r="4" spans="1:11">
      <c r="B4" s="1" t="s">
        <v>2</v>
      </c>
      <c r="C4" s="7" t="s">
        <v>81</v>
      </c>
    </row>
    <row r="5" spans="1:11">
      <c r="B5" s="1" t="s">
        <v>3</v>
      </c>
      <c r="C5" s="7" t="s">
        <v>82</v>
      </c>
    </row>
    <row r="6" spans="1:11">
      <c r="E6" s="75" t="s">
        <v>4</v>
      </c>
      <c r="F6" s="70"/>
      <c r="J6" t="s">
        <v>4</v>
      </c>
    </row>
    <row r="7" spans="1:11">
      <c r="B7" s="74" t="s">
        <v>5</v>
      </c>
      <c r="C7" s="70"/>
      <c r="E7" s="1" t="s">
        <v>6</v>
      </c>
      <c r="F7" s="21">
        <v>46181.666666666664</v>
      </c>
      <c r="J7" t="s">
        <v>6</v>
      </c>
      <c r="K7">
        <v>46153.666666666664</v>
      </c>
    </row>
    <row r="8" spans="1:11">
      <c r="B8" s="1" t="s">
        <v>7</v>
      </c>
      <c r="C8" s="2">
        <v>-35.6415976879155</v>
      </c>
      <c r="E8" s="1" t="s">
        <v>8</v>
      </c>
      <c r="F8" s="21">
        <v>46181.715601851851</v>
      </c>
      <c r="G8" s="8">
        <f ca="1">NOW()+TIME(0,0,30)</f>
        <v>46181.863110300925</v>
      </c>
      <c r="J8" t="s">
        <v>8</v>
      </c>
      <c r="K8">
        <v>46153.726203703707</v>
      </c>
    </row>
    <row r="9" spans="1:11">
      <c r="B9" s="1" t="s">
        <v>9</v>
      </c>
      <c r="C9" s="2">
        <v>138.25143626835299</v>
      </c>
      <c r="E9" s="1" t="s">
        <v>10</v>
      </c>
      <c r="F9" s="21">
        <f>dataSunriseTime</f>
        <v>46181.306527777779</v>
      </c>
      <c r="J9" t="s">
        <v>10</v>
      </c>
      <c r="K9">
        <v>46153.290451388886</v>
      </c>
    </row>
    <row r="10" spans="1:11">
      <c r="B10" s="1" t="s">
        <v>11</v>
      </c>
      <c r="C10" s="2">
        <v>9.5</v>
      </c>
      <c r="E10" s="1" t="s">
        <v>12</v>
      </c>
      <c r="F10" s="21">
        <v>46181.684351851851</v>
      </c>
      <c r="G10" s="8">
        <f ca="1">NOW()+TIME(0,H10,0)</f>
        <v>46181.863457523148</v>
      </c>
      <c r="H10">
        <v>1</v>
      </c>
      <c r="J10" t="s">
        <v>12</v>
      </c>
      <c r="K10">
        <v>46153.694953703707</v>
      </c>
    </row>
    <row r="11" spans="1:11">
      <c r="B11" s="1" t="s">
        <v>13</v>
      </c>
      <c r="C11" s="2">
        <v>270</v>
      </c>
      <c r="E11" s="1" t="s">
        <v>14</v>
      </c>
      <c r="F11" s="21">
        <v>46181.729490740741</v>
      </c>
      <c r="G11" s="8">
        <f t="shared" ref="G11:G15" ca="1" si="0">NOW()+TIME(0,H11,0)</f>
        <v>46181.864151967588</v>
      </c>
      <c r="H11">
        <v>2</v>
      </c>
      <c r="J11" t="s">
        <v>14</v>
      </c>
      <c r="K11">
        <v>46153.74009259259</v>
      </c>
    </row>
    <row r="12" spans="1:11">
      <c r="E12" s="1" t="s">
        <v>15</v>
      </c>
      <c r="F12" s="21">
        <v>46181.757268518515</v>
      </c>
      <c r="G12" s="8">
        <f t="shared" ca="1" si="0"/>
        <v>46181.864846412034</v>
      </c>
      <c r="H12">
        <v>3</v>
      </c>
      <c r="J12" t="s">
        <v>15</v>
      </c>
      <c r="K12">
        <v>46153.767870370371</v>
      </c>
    </row>
    <row r="13" spans="1:11">
      <c r="B13" s="74" t="s">
        <v>16</v>
      </c>
      <c r="C13" s="70"/>
      <c r="E13" s="1" t="s">
        <v>17</v>
      </c>
      <c r="F13" s="21">
        <v>46181.244027777779</v>
      </c>
      <c r="G13" s="8">
        <f t="shared" ca="1" si="0"/>
        <v>46181.865540856481</v>
      </c>
      <c r="H13">
        <v>4</v>
      </c>
      <c r="J13" t="s">
        <v>17</v>
      </c>
      <c r="K13">
        <v>46153.227951388886</v>
      </c>
    </row>
    <row r="14" spans="1:11">
      <c r="B14" s="1" t="s">
        <v>18</v>
      </c>
      <c r="C14" s="3" t="s">
        <v>19</v>
      </c>
      <c r="E14" s="1" t="s">
        <v>20</v>
      </c>
      <c r="F14" s="21">
        <v>46181.275277777779</v>
      </c>
      <c r="G14" s="8">
        <f t="shared" ca="1" si="0"/>
        <v>46181.86623530092</v>
      </c>
      <c r="H14">
        <v>5</v>
      </c>
      <c r="J14" t="s">
        <v>20</v>
      </c>
      <c r="K14">
        <v>46153.259201388886</v>
      </c>
    </row>
    <row r="15" spans="1:11">
      <c r="E15" s="1" t="s">
        <v>21</v>
      </c>
      <c r="F15" s="21">
        <v>46181.306527777779</v>
      </c>
      <c r="G15" s="8">
        <f t="shared" ca="1" si="0"/>
        <v>46181.866929745367</v>
      </c>
      <c r="H15">
        <v>6</v>
      </c>
      <c r="J15" t="s">
        <v>21</v>
      </c>
      <c r="K15">
        <v>46153.290451388886</v>
      </c>
    </row>
    <row r="16" spans="1:11">
      <c r="B16" s="72" t="s">
        <v>22</v>
      </c>
      <c r="C16" s="70"/>
      <c r="F16" s="20"/>
    </row>
    <row r="17" spans="2:11">
      <c r="B17" s="1" t="s">
        <v>23</v>
      </c>
      <c r="C17" s="2" t="s">
        <v>24</v>
      </c>
      <c r="E17" s="73" t="s">
        <v>25</v>
      </c>
      <c r="F17" s="70"/>
      <c r="J17" t="s">
        <v>25</v>
      </c>
    </row>
    <row r="18" spans="2:11">
      <c r="B18" s="1" t="s">
        <v>26</v>
      </c>
      <c r="C18" s="12" t="s">
        <v>27</v>
      </c>
      <c r="E18" s="1" t="s">
        <v>28</v>
      </c>
      <c r="F18" s="21">
        <v>46181.306527777779</v>
      </c>
      <c r="J18" t="s">
        <v>28</v>
      </c>
      <c r="K18">
        <v>46153.290451388886</v>
      </c>
    </row>
    <row r="19" spans="2:11">
      <c r="B19" s="1" t="s">
        <v>29</v>
      </c>
      <c r="C19" s="13" t="s">
        <v>250</v>
      </c>
      <c r="E19" s="1" t="s">
        <v>30</v>
      </c>
      <c r="F19" s="21">
        <v>46181.287002314813</v>
      </c>
      <c r="J19" t="s">
        <v>30</v>
      </c>
      <c r="K19">
        <v>46153.272835648146</v>
      </c>
    </row>
    <row r="20" spans="2:11">
      <c r="B20" s="1" t="s">
        <v>31</v>
      </c>
      <c r="C20" s="2">
        <v>100</v>
      </c>
      <c r="E20" s="1" t="s">
        <v>32</v>
      </c>
      <c r="F20" s="21">
        <v>46181.735138888886</v>
      </c>
      <c r="J20" t="s">
        <v>32</v>
      </c>
      <c r="K20">
        <v>46153.743807870371</v>
      </c>
    </row>
    <row r="21" spans="2:11">
      <c r="B21" s="1" t="s">
        <v>33</v>
      </c>
      <c r="C21" s="2">
        <v>64</v>
      </c>
      <c r="E21" s="1" t="s">
        <v>34</v>
      </c>
      <c r="F21" s="21">
        <v>46181.757268518515</v>
      </c>
      <c r="J21" t="s">
        <v>34</v>
      </c>
      <c r="K21">
        <v>46153.764918981484</v>
      </c>
    </row>
    <row r="22" spans="2:11">
      <c r="B22" s="1" t="s">
        <v>35</v>
      </c>
      <c r="C22" s="2">
        <v>0</v>
      </c>
      <c r="E22" s="1" t="s">
        <v>36</v>
      </c>
      <c r="F22" s="21">
        <v>46181.778749999998</v>
      </c>
      <c r="J22" t="s">
        <v>36</v>
      </c>
      <c r="K22">
        <v>46153.785671296297</v>
      </c>
    </row>
    <row r="23" spans="2:11">
      <c r="B23" s="1" t="s">
        <v>37</v>
      </c>
      <c r="C23" s="2" t="s">
        <v>696</v>
      </c>
      <c r="J23" t="s">
        <v>99</v>
      </c>
      <c r="K23">
        <v>100</v>
      </c>
    </row>
    <row r="24" spans="2:11">
      <c r="B24" s="1" t="s">
        <v>39</v>
      </c>
      <c r="C24" s="2" t="s">
        <v>40</v>
      </c>
    </row>
    <row r="25" spans="2:11">
      <c r="E25" s="1" t="s">
        <v>254</v>
      </c>
      <c r="F25" s="21">
        <v>46182.018009259256</v>
      </c>
    </row>
    <row r="26" spans="2:11">
      <c r="B26" s="72" t="s">
        <v>41</v>
      </c>
      <c r="C26" s="70"/>
      <c r="E26" s="1" t="s">
        <v>253</v>
      </c>
      <c r="F26" s="21">
        <v>46182.533738425926</v>
      </c>
    </row>
    <row r="27" spans="2:11">
      <c r="B27" s="1" t="s">
        <v>42</v>
      </c>
      <c r="C27" s="2">
        <v>0</v>
      </c>
    </row>
    <row r="28" spans="2:11">
      <c r="B28" s="1" t="s">
        <v>43</v>
      </c>
      <c r="C28" s="2">
        <v>0</v>
      </c>
    </row>
    <row r="29" spans="2:11">
      <c r="B29" s="1" t="s">
        <v>44</v>
      </c>
      <c r="C29" s="2">
        <v>0</v>
      </c>
    </row>
    <row r="30" spans="2:11">
      <c r="B30" s="1" t="s">
        <v>45</v>
      </c>
      <c r="C30" s="2">
        <v>0</v>
      </c>
    </row>
    <row r="31" spans="2:11">
      <c r="B31" s="1" t="s">
        <v>46</v>
      </c>
      <c r="C31" s="2">
        <v>0</v>
      </c>
    </row>
    <row r="32" spans="2:11">
      <c r="B32" s="1" t="s">
        <v>47</v>
      </c>
      <c r="C32" s="2">
        <v>0</v>
      </c>
    </row>
    <row r="34" spans="2:5">
      <c r="B34" s="72" t="s">
        <v>48</v>
      </c>
      <c r="C34" s="70"/>
    </row>
    <row r="35" spans="2:5">
      <c r="B35" s="1" t="s">
        <v>49</v>
      </c>
      <c r="C35" s="2">
        <v>0</v>
      </c>
    </row>
    <row r="36" spans="2:5">
      <c r="B36" s="1" t="s">
        <v>50</v>
      </c>
      <c r="C36" s="2">
        <v>0</v>
      </c>
    </row>
    <row r="37" spans="2:5">
      <c r="B37" s="1" t="s">
        <v>51</v>
      </c>
      <c r="C37" s="2">
        <v>0</v>
      </c>
    </row>
    <row r="38" spans="2:5">
      <c r="B38" s="1" t="s">
        <v>52</v>
      </c>
      <c r="C38" s="2">
        <v>0.95</v>
      </c>
    </row>
    <row r="40" spans="2:5">
      <c r="B40" s="69" t="s">
        <v>98</v>
      </c>
      <c r="C40" s="70"/>
    </row>
    <row r="41" spans="2:5">
      <c r="C41" s="19">
        <v>60</v>
      </c>
      <c r="E41" t="s">
        <v>96</v>
      </c>
    </row>
    <row r="42" spans="2:5">
      <c r="C42" s="19">
        <v>40</v>
      </c>
      <c r="E42" t="s">
        <v>97</v>
      </c>
    </row>
    <row r="44" spans="2:5">
      <c r="B44" s="24" t="s">
        <v>187</v>
      </c>
      <c r="C44" t="s">
        <v>114</v>
      </c>
    </row>
    <row r="45" spans="2:5">
      <c r="B45" s="24" t="s">
        <v>248</v>
      </c>
      <c r="C45">
        <v>-225</v>
      </c>
    </row>
    <row r="46" spans="2:5">
      <c r="B46" s="24" t="s">
        <v>249</v>
      </c>
      <c r="C46">
        <v>225</v>
      </c>
    </row>
    <row r="48" spans="2:5">
      <c r="B48" s="22" t="s">
        <v>288</v>
      </c>
    </row>
    <row r="49" spans="2:4">
      <c r="B49" t="s">
        <v>289</v>
      </c>
      <c r="C49" s="60">
        <v>0.6958333333333333</v>
      </c>
      <c r="D49" t="s">
        <v>290</v>
      </c>
    </row>
    <row r="51" spans="2:4">
      <c r="B51" s="24" t="s">
        <v>306</v>
      </c>
    </row>
    <row r="52" spans="2:4">
      <c r="B52" t="s">
        <v>303</v>
      </c>
      <c r="C52" s="5">
        <v>46181.723634259259</v>
      </c>
      <c r="D52" t="s">
        <v>291</v>
      </c>
    </row>
    <row r="53" spans="2:4">
      <c r="B53" t="s">
        <v>304</v>
      </c>
      <c r="C53" s="5">
        <v>46182.039606481485</v>
      </c>
      <c r="D53" t="s">
        <v>291</v>
      </c>
    </row>
    <row r="54" spans="2:4">
      <c r="B54" t="s">
        <v>305</v>
      </c>
      <c r="C54" s="5">
        <v>46182.351990740739</v>
      </c>
      <c r="D54" t="s">
        <v>291</v>
      </c>
    </row>
    <row r="56" spans="2:4">
      <c r="B56" s="24" t="s">
        <v>292</v>
      </c>
    </row>
    <row r="57" spans="2:4">
      <c r="B57" t="s">
        <v>293</v>
      </c>
      <c r="C57" s="50">
        <v>3</v>
      </c>
      <c r="D57" t="s">
        <v>294</v>
      </c>
    </row>
    <row r="58" spans="2:4">
      <c r="B58" t="s">
        <v>295</v>
      </c>
      <c r="C58" s="50">
        <v>10</v>
      </c>
      <c r="D58" t="s">
        <v>296</v>
      </c>
    </row>
    <row r="59" spans="2:4">
      <c r="B59" t="s">
        <v>297</v>
      </c>
      <c r="C59" s="50">
        <v>30</v>
      </c>
      <c r="D59" t="s">
        <v>298</v>
      </c>
    </row>
    <row r="61" spans="2:4">
      <c r="B61" s="24" t="s">
        <v>299</v>
      </c>
    </row>
    <row r="62" spans="2:4">
      <c r="B62" s="24"/>
    </row>
    <row r="64" spans="2:4">
      <c r="B64" s="24" t="s">
        <v>300</v>
      </c>
    </row>
    <row r="65" spans="2:4">
      <c r="B65" t="s">
        <v>301</v>
      </c>
      <c r="C65" t="b">
        <v>0</v>
      </c>
      <c r="D65" t="s">
        <v>302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O28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10" sqref="D10"/>
    </sheetView>
  </sheetViews>
  <sheetFormatPr defaultColWidth="8.6328125" defaultRowHeight="14.5"/>
  <cols>
    <col min="1" max="1" width="8.6328125" style="34"/>
    <col min="2" max="2" width="6" style="34" customWidth="1"/>
    <col min="3" max="4" width="9" style="34" customWidth="1"/>
    <col min="5" max="5" width="11" style="34" customWidth="1"/>
    <col min="6" max="6" width="8" style="34" customWidth="1"/>
    <col min="7" max="7" width="7" style="34" customWidth="1"/>
    <col min="8" max="8" width="6" style="34" customWidth="1"/>
    <col min="9" max="9" width="10" style="34" customWidth="1"/>
    <col min="10" max="10" width="12.36328125" style="34" bestFit="1" customWidth="1"/>
    <col min="11" max="11" width="38" style="34" customWidth="1"/>
    <col min="12" max="12" width="2" style="34" customWidth="1"/>
    <col min="13" max="13" width="7" style="34" customWidth="1"/>
    <col min="14" max="15" width="11" style="34" customWidth="1"/>
    <col min="16" max="18" width="9" style="34" customWidth="1"/>
    <col min="19" max="19" width="12" style="34" customWidth="1"/>
    <col min="20" max="20" width="10" style="34" customWidth="1"/>
    <col min="21" max="21" width="14" style="34" customWidth="1"/>
    <col min="22" max="25" width="8" style="34" customWidth="1"/>
    <col min="26" max="26" width="16" style="34" customWidth="1"/>
    <col min="27" max="27" width="8" style="34" customWidth="1"/>
    <col min="28" max="28" width="32" style="34" customWidth="1"/>
    <col min="29" max="29" width="12.7265625" style="34" bestFit="1" customWidth="1"/>
    <col min="30" max="30" width="3.26953125" style="34" customWidth="1"/>
    <col min="31" max="31" width="9" style="34" customWidth="1"/>
    <col min="32" max="32" width="10" style="34" customWidth="1"/>
    <col min="33" max="33" width="8" style="34" customWidth="1"/>
    <col min="34" max="35" width="10" style="34" customWidth="1"/>
    <col min="36" max="36" width="6" style="34" customWidth="1"/>
    <col min="37" max="37" width="18.90625" style="34" customWidth="1"/>
    <col min="38" max="38" width="9" style="34" customWidth="1"/>
    <col min="39" max="40" width="10" style="34" customWidth="1"/>
    <col min="41" max="41" width="28" style="34" customWidth="1"/>
    <col min="42" max="16384" width="8.6328125" style="34"/>
  </cols>
  <sheetData>
    <row r="1" spans="2:41" ht="21.75" customHeight="1">
      <c r="B1" s="33" t="s">
        <v>255</v>
      </c>
      <c r="AD1" s="91"/>
      <c r="AI1" s="91"/>
    </row>
    <row r="2" spans="2:41">
      <c r="AD2" s="91"/>
      <c r="AI2" s="91"/>
    </row>
    <row r="3" spans="2:41" ht="19.5" customHeight="1">
      <c r="B3" s="76" t="s">
        <v>256</v>
      </c>
      <c r="C3" s="77"/>
      <c r="D3" s="77"/>
      <c r="E3" s="77"/>
      <c r="F3" s="77"/>
      <c r="G3" s="77"/>
      <c r="H3" s="77"/>
      <c r="I3" s="77"/>
      <c r="J3" s="77"/>
      <c r="K3" s="77"/>
      <c r="M3" s="78" t="s">
        <v>257</v>
      </c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D3" s="91"/>
      <c r="AE3" s="92"/>
      <c r="AF3" s="92"/>
      <c r="AG3" s="92"/>
      <c r="AH3" s="92"/>
      <c r="AI3" s="93"/>
      <c r="AJ3" s="92"/>
      <c r="AK3" s="92"/>
      <c r="AL3" s="92"/>
      <c r="AM3" s="92"/>
      <c r="AN3" s="92"/>
      <c r="AO3" s="92"/>
    </row>
    <row r="4" spans="2:41">
      <c r="AD4" s="91"/>
      <c r="AI4" s="91"/>
    </row>
    <row r="5" spans="2:41" ht="27.75" customHeight="1">
      <c r="B5" s="57"/>
      <c r="C5" s="36" t="s">
        <v>69</v>
      </c>
      <c r="D5" s="36" t="s">
        <v>259</v>
      </c>
      <c r="E5" s="36" t="s">
        <v>51</v>
      </c>
      <c r="F5" s="36" t="s">
        <v>260</v>
      </c>
      <c r="G5" s="36" t="s">
        <v>261</v>
      </c>
      <c r="H5" s="36" t="s">
        <v>362</v>
      </c>
      <c r="I5" s="35" t="s">
        <v>262</v>
      </c>
      <c r="J5" s="57" t="s">
        <v>376</v>
      </c>
      <c r="K5" s="36" t="s">
        <v>263</v>
      </c>
      <c r="M5" s="37" t="s">
        <v>258</v>
      </c>
      <c r="N5" s="38" t="s">
        <v>264</v>
      </c>
      <c r="O5" s="38" t="s">
        <v>265</v>
      </c>
      <c r="P5" s="38" t="s">
        <v>266</v>
      </c>
      <c r="Q5" s="37" t="s">
        <v>267</v>
      </c>
      <c r="R5" s="37" t="s">
        <v>268</v>
      </c>
      <c r="S5" s="38" t="s">
        <v>69</v>
      </c>
      <c r="T5" s="38" t="s">
        <v>269</v>
      </c>
      <c r="U5" s="38" t="s">
        <v>270</v>
      </c>
      <c r="V5" s="38" t="s">
        <v>271</v>
      </c>
      <c r="W5" s="38" t="s">
        <v>272</v>
      </c>
      <c r="X5" s="38" t="s">
        <v>273</v>
      </c>
      <c r="Y5" s="38" t="s">
        <v>274</v>
      </c>
      <c r="Z5" s="38" t="s">
        <v>275</v>
      </c>
      <c r="AA5" s="37" t="s">
        <v>276</v>
      </c>
      <c r="AB5" s="38" t="s">
        <v>263</v>
      </c>
      <c r="AC5" s="39" t="s">
        <v>437</v>
      </c>
      <c r="AE5" s="36" t="s">
        <v>277</v>
      </c>
      <c r="AF5" s="36" t="s">
        <v>278</v>
      </c>
      <c r="AG5" s="36" t="s">
        <v>76</v>
      </c>
      <c r="AH5" s="36" t="s">
        <v>279</v>
      </c>
      <c r="AI5" s="36" t="s">
        <v>477</v>
      </c>
      <c r="AJ5" s="36" t="s">
        <v>280</v>
      </c>
      <c r="AK5" s="36" t="s">
        <v>271</v>
      </c>
      <c r="AL5" s="36" t="s">
        <v>64</v>
      </c>
      <c r="AM5" s="36" t="s">
        <v>273</v>
      </c>
      <c r="AN5" s="36" t="s">
        <v>274</v>
      </c>
      <c r="AO5" s="36" t="s">
        <v>281</v>
      </c>
    </row>
    <row r="6" spans="2:41" ht="15" customHeight="1">
      <c r="B6" s="55" t="s">
        <v>284</v>
      </c>
      <c r="C6" s="40" t="s">
        <v>282</v>
      </c>
      <c r="D6" s="40">
        <v>1</v>
      </c>
      <c r="E6" s="40">
        <v>100</v>
      </c>
      <c r="F6" s="40">
        <v>0</v>
      </c>
      <c r="G6" s="40"/>
      <c r="H6" s="40">
        <v>0</v>
      </c>
      <c r="I6" s="56"/>
      <c r="J6" s="58">
        <f>dataShootStart</f>
        <v>0.6958333333333333</v>
      </c>
      <c r="K6" s="40" t="s">
        <v>499</v>
      </c>
      <c r="M6" s="41" t="str">
        <f>"GP" &amp; TEXT(ROW()-5,"00")</f>
        <v>GP01</v>
      </c>
      <c r="N6" s="42" t="s">
        <v>283</v>
      </c>
      <c r="O6" s="42" t="s">
        <v>284</v>
      </c>
      <c r="P6" s="42"/>
      <c r="Q6" s="43">
        <f>IF(N6="WP",INDEX($J$6:$J$20,MATCH(O6,$B$6:$B$20,0))+IFERROR(P6,0)/1440,IF(N6="TIME",IFERROR(TIMEVALUE(O6),"")+IFERROR(P6,0)/1440,IF(N6="ASTRO",IF(O6="sunset",dataSunsetTime,IF(O6="sunrise",dataSunriseTime,IF(O6="moonrise",dataMoonriseTime,IF(O6="moonset",dataMoonsetTime,IF(O6="gcrise",dataGCRiseTime,IF(O6="gctransit",dataGCTransitTime,IF(O6="gcset",dataGCSetTime,"")))))))+IFERROR(P6,0)/1440,"")))</f>
        <v>0.6958333333333333</v>
      </c>
      <c r="R6" s="43">
        <f>IF(OR(Q6="",Q7=""),"",Q7-Q6)</f>
        <v>4.1666666666662078E-4</v>
      </c>
      <c r="S6" s="42" t="s">
        <v>635</v>
      </c>
      <c r="T6" s="42" t="s">
        <v>634</v>
      </c>
      <c r="U6" s="42" t="s">
        <v>500</v>
      </c>
      <c r="V6" s="42" t="s">
        <v>285</v>
      </c>
      <c r="W6" s="42" t="s">
        <v>285</v>
      </c>
      <c r="X6" s="42">
        <v>0</v>
      </c>
      <c r="Y6" s="42">
        <v>0</v>
      </c>
      <c r="Z6" s="42" t="s">
        <v>413</v>
      </c>
      <c r="AA6" s="44" t="s">
        <v>285</v>
      </c>
      <c r="AB6" s="42"/>
      <c r="AC6" s="39" t="s">
        <v>438</v>
      </c>
      <c r="AE6" s="45">
        <v>2</v>
      </c>
      <c r="AF6" s="45">
        <v>0</v>
      </c>
      <c r="AG6" s="45" t="s">
        <v>102</v>
      </c>
      <c r="AH6" s="45" t="s">
        <v>101</v>
      </c>
      <c r="AI6" s="45" t="s">
        <v>481</v>
      </c>
      <c r="AJ6" s="45"/>
      <c r="AK6" s="45">
        <v>0</v>
      </c>
      <c r="AL6" s="45">
        <v>0</v>
      </c>
      <c r="AM6" s="45">
        <v>0</v>
      </c>
      <c r="AN6" s="45">
        <v>0</v>
      </c>
      <c r="AO6" s="45" t="s">
        <v>482</v>
      </c>
    </row>
    <row r="7" spans="2:41" ht="15" customHeight="1">
      <c r="B7" s="55" t="s">
        <v>326</v>
      </c>
      <c r="C7" s="40" t="s">
        <v>287</v>
      </c>
      <c r="D7" s="40"/>
      <c r="E7" s="40"/>
      <c r="F7" s="40"/>
      <c r="G7" s="40">
        <v>1800</v>
      </c>
      <c r="H7" s="40"/>
      <c r="I7" s="56"/>
      <c r="J7" s="59">
        <f>IF(C6="","",J6+IF(C6="STOP",G6/86400,IF(AND(ISNUMBER(D6),ISNUMBER(E6),E6&gt;0),D6/E6/24,0)))</f>
        <v>0.69624999999999992</v>
      </c>
      <c r="K7" s="40"/>
      <c r="M7" s="41" t="str">
        <f>"GP" &amp; TEXT(ROW()-5,"00")</f>
        <v>GP02</v>
      </c>
      <c r="N7" s="42" t="s">
        <v>283</v>
      </c>
      <c r="O7" s="42" t="s">
        <v>326</v>
      </c>
      <c r="P7" s="42"/>
      <c r="Q7" s="43">
        <f>IF(N7="WP",INDEX($J$6:$J$20,MATCH(O7,$B$6:$B$20,0))+IFERROR(P7,0)/1440,IF(N7="TIME",IFERROR(TIMEVALUE(O7),"")+IFERROR(P7,0)/1440,IF(N7="ASTRO",IF(O7="sunset",dataSunsetTime,IF(O7="sunrise",dataSunriseTime,IF(O7="moonrise",dataMoonriseTime,IF(O7="moonset",dataMoonsetTime,IF(O7="gcrise",dataGCRiseTime,IF(O7="gctransit",dataGCTransitTime,IF(O7="gcset",dataGCSetTime,"")))))))+IFERROR(P7,0)/1440,"")))</f>
        <v>0.69624999999999992</v>
      </c>
      <c r="R7" s="43">
        <f t="shared" ref="R7:R10" si="0">IF(OR(Q7="",Q8=""),"",Q8-Q7)</f>
        <v>2.083333333333337E-2</v>
      </c>
      <c r="S7" s="42" t="s">
        <v>635</v>
      </c>
      <c r="T7" s="42" t="s">
        <v>634</v>
      </c>
      <c r="U7" s="42" t="s">
        <v>500</v>
      </c>
      <c r="V7" s="42" t="s">
        <v>285</v>
      </c>
      <c r="W7" s="42" t="s">
        <v>285</v>
      </c>
      <c r="X7" s="42">
        <v>0</v>
      </c>
      <c r="Y7" s="42">
        <v>0</v>
      </c>
      <c r="Z7" s="42" t="s">
        <v>413</v>
      </c>
      <c r="AA7" s="44" t="s">
        <v>285</v>
      </c>
      <c r="AB7" s="42"/>
      <c r="AC7" s="39" t="s">
        <v>438</v>
      </c>
      <c r="AE7" s="45">
        <v>3</v>
      </c>
      <c r="AF7" s="45">
        <v>0</v>
      </c>
      <c r="AG7" s="45" t="s">
        <v>102</v>
      </c>
      <c r="AH7" s="45" t="s">
        <v>101</v>
      </c>
      <c r="AI7" s="45" t="s">
        <v>481</v>
      </c>
      <c r="AJ7" s="45"/>
      <c r="AK7" s="45">
        <v>0</v>
      </c>
      <c r="AL7" s="45">
        <v>0</v>
      </c>
      <c r="AM7" s="45">
        <v>0</v>
      </c>
      <c r="AN7" s="45">
        <v>0</v>
      </c>
      <c r="AO7" s="45" t="s">
        <v>482</v>
      </c>
    </row>
    <row r="8" spans="2:41" ht="15" customHeight="1">
      <c r="B8" s="55"/>
      <c r="C8" s="40"/>
      <c r="D8" s="40"/>
      <c r="E8" s="40"/>
      <c r="F8" s="40"/>
      <c r="G8" s="40"/>
      <c r="H8" s="40"/>
      <c r="I8" s="56"/>
      <c r="J8" s="59">
        <f t="shared" ref="J8:J18" si="1">IF(C7="","",J7+IF(C7="STOP",G7/86400,IF(AND(ISNUMBER(D7),ISNUMBER(E7),E7&gt;0),D7/E7/24,0)))</f>
        <v>0.71708333333333329</v>
      </c>
      <c r="K8" s="40"/>
      <c r="M8" s="41" t="str">
        <f>"GP" &amp; TEXT(ROW()-5,"00")</f>
        <v>GP03</v>
      </c>
      <c r="N8" s="42" t="s">
        <v>283</v>
      </c>
      <c r="O8" s="42" t="s">
        <v>326</v>
      </c>
      <c r="P8" s="42">
        <v>30</v>
      </c>
      <c r="Q8" s="43">
        <f>IF(N8="WP",INDEX($J$6:$J$20,MATCH(O8,$B$6:$B$20,0))+IFERROR(P8,0)/1440,IF(N8="TIME",IFERROR(TIMEVALUE(O8),"")+IFERROR(P8,0)/1440,IF(N8="ASTRO",IF(O8="sunset",dataSunsetTime,IF(O8="sunrise",dataSunriseTime,IF(O8="moonrise",dataMoonriseTime,IF(O8="moonset",dataMoonsetTime,IF(O8="gcrise",dataGCRiseTime,IF(O8="gctransit",dataGCTransitTime,IF(O8="gcset",dataGCSetTime,"")))))))+IFERROR(P8,0)/1440,"")))</f>
        <v>0.71708333333333329</v>
      </c>
      <c r="R8" s="43" t="str">
        <f t="shared" si="0"/>
        <v/>
      </c>
      <c r="S8" s="42" t="s">
        <v>286</v>
      </c>
      <c r="T8" s="42"/>
      <c r="U8" s="42"/>
      <c r="V8" s="42"/>
      <c r="W8" s="42"/>
      <c r="X8" s="42"/>
      <c r="Y8" s="42"/>
      <c r="Z8" s="42"/>
      <c r="AA8" s="44" t="s">
        <v>285</v>
      </c>
      <c r="AB8" s="42"/>
      <c r="AC8" s="39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</row>
    <row r="9" spans="2:41" ht="15" customHeight="1">
      <c r="B9" s="55"/>
      <c r="C9" s="40"/>
      <c r="D9" s="40"/>
      <c r="E9" s="40"/>
      <c r="F9" s="40"/>
      <c r="G9" s="40"/>
      <c r="H9" s="40"/>
      <c r="I9" s="56"/>
      <c r="J9" s="59" t="str">
        <f t="shared" si="1"/>
        <v/>
      </c>
      <c r="K9" s="40"/>
      <c r="M9" s="41" t="str">
        <f>"GP" &amp; TEXT(ROW()-5,"00")</f>
        <v>GP04</v>
      </c>
      <c r="N9" s="42"/>
      <c r="O9" s="42"/>
      <c r="P9" s="46"/>
      <c r="Q9" s="43" t="str">
        <f>IF(N9="WP",INDEX($J$6:$J$20,MATCH(O9,$B$6:$B$20,0))+IFERROR(P9,0)/1440,IF(N9="TIME",IFERROR(TIMEVALUE(O9),"")+IFERROR(P9,0)/1440,IF(N9="ASTRO",IF(O9="sunset",dataSunsetTime,IF(O9="sunrise",dataSunriseTime,IF(O9="moonrise",dataMoonriseTime,IF(O9="moonset",dataMoonsetTime,IF(O9="gcrise",dataGCRiseTime,IF(O9="gctransit",dataGCTransitTime,IF(O9="gcset",dataGCSetTime,"")))))))+IFERROR(P9,0)/1440,"")))</f>
        <v/>
      </c>
      <c r="R9" s="43" t="str">
        <f t="shared" si="0"/>
        <v/>
      </c>
      <c r="S9" s="42"/>
      <c r="T9" s="42"/>
      <c r="U9" s="42"/>
      <c r="V9" s="42"/>
      <c r="W9" s="42"/>
      <c r="X9" s="46"/>
      <c r="Y9" s="42"/>
      <c r="Z9" s="42"/>
      <c r="AA9" s="44" t="s">
        <v>285</v>
      </c>
      <c r="AB9" s="42"/>
      <c r="AC9" s="39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</row>
    <row r="10" spans="2:41" ht="15" customHeight="1">
      <c r="B10" s="55"/>
      <c r="C10" s="40"/>
      <c r="D10" s="40"/>
      <c r="E10" s="40"/>
      <c r="F10" s="40"/>
      <c r="G10" s="40"/>
      <c r="H10" s="40"/>
      <c r="I10" s="56"/>
      <c r="J10" s="59" t="str">
        <f t="shared" si="1"/>
        <v/>
      </c>
      <c r="K10" s="40"/>
      <c r="M10" s="41" t="str">
        <f>"GP" &amp; TEXT(ROW()-5,"00")</f>
        <v>GP05</v>
      </c>
      <c r="N10" s="42"/>
      <c r="O10" s="42"/>
      <c r="P10" s="46">
        <v>2</v>
      </c>
      <c r="Q10" s="43" t="str">
        <f>IF(N10="WP",INDEX($J$6:$J$20,MATCH(O10,$B$6:$B$20,0))+IFERROR(P10,0)/1440,IF(N10="TIME",IFERROR(TIMEVALUE(O10),"")+IFERROR(P10,0)/1440,IF(N10="ASTRO",IF(O10="sunset",dataSunsetTime,IF(O10="sunrise",dataSunriseTime,IF(O10="moonrise",dataMoonriseTime,IF(O10="moonset",dataMoonsetTime,IF(O10="gcrise",dataGCRiseTime,IF(O10="gctransit",dataGCTransitTime,IF(O10="gcset",dataGCSetTime,"")))))))+IFERROR(P10,0)/1440,"")))</f>
        <v/>
      </c>
      <c r="R10" s="43" t="str">
        <f t="shared" si="0"/>
        <v/>
      </c>
      <c r="S10" s="42"/>
      <c r="T10" s="42"/>
      <c r="U10" s="42"/>
      <c r="V10" s="42"/>
      <c r="W10" s="42"/>
      <c r="X10" s="46"/>
      <c r="Y10" s="42"/>
      <c r="Z10" s="42"/>
      <c r="AA10" s="44" t="s">
        <v>285</v>
      </c>
      <c r="AB10" s="42"/>
      <c r="AC10" s="39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</row>
    <row r="11" spans="2:41" ht="15" customHeight="1">
      <c r="B11" s="55"/>
      <c r="C11" s="40"/>
      <c r="D11" s="40"/>
      <c r="E11" s="40"/>
      <c r="F11" s="40"/>
      <c r="G11" s="40"/>
      <c r="H11" s="40"/>
      <c r="I11" s="56"/>
      <c r="J11" s="59" t="str">
        <f t="shared" si="1"/>
        <v/>
      </c>
      <c r="K11" s="40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2:41" ht="15" customHeight="1">
      <c r="B12" s="55"/>
      <c r="C12" s="40"/>
      <c r="D12" s="40"/>
      <c r="E12" s="40"/>
      <c r="F12" s="40"/>
      <c r="G12" s="40"/>
      <c r="H12" s="40"/>
      <c r="I12" s="56"/>
      <c r="J12" s="59" t="str">
        <f t="shared" si="1"/>
        <v/>
      </c>
      <c r="K12" s="40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2:41">
      <c r="B13" s="55"/>
      <c r="C13" s="40"/>
      <c r="D13" s="40"/>
      <c r="E13" s="40"/>
      <c r="F13" s="40"/>
      <c r="G13" s="40"/>
      <c r="H13" s="40"/>
      <c r="I13" s="56"/>
      <c r="J13" s="59" t="str">
        <f t="shared" si="1"/>
        <v/>
      </c>
      <c r="K13" s="40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2:41">
      <c r="B14" s="55"/>
      <c r="C14" s="40"/>
      <c r="D14" s="40"/>
      <c r="E14" s="40"/>
      <c r="F14" s="40"/>
      <c r="G14" s="40"/>
      <c r="H14" s="40"/>
      <c r="I14" s="56"/>
      <c r="J14" s="59" t="str">
        <f t="shared" si="1"/>
        <v/>
      </c>
      <c r="K14" s="40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2:41">
      <c r="B15" s="55"/>
      <c r="C15" s="40"/>
      <c r="D15" s="40"/>
      <c r="E15" s="40"/>
      <c r="F15" s="40"/>
      <c r="G15" s="40"/>
      <c r="H15" s="40"/>
      <c r="I15" s="56"/>
      <c r="J15" s="59" t="str">
        <f t="shared" si="1"/>
        <v/>
      </c>
      <c r="K15" s="40"/>
      <c r="M15" s="47"/>
      <c r="N15" s="47"/>
      <c r="O15" s="47"/>
      <c r="P15" s="47"/>
      <c r="Q15" s="47"/>
      <c r="R15" s="64" t="s">
        <v>435</v>
      </c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2:41" ht="15" customHeight="1">
      <c r="B16" s="55"/>
      <c r="C16" s="40"/>
      <c r="D16" s="40"/>
      <c r="E16" s="40"/>
      <c r="F16" s="40"/>
      <c r="G16" s="40"/>
      <c r="H16" s="40"/>
      <c r="I16" s="56"/>
      <c r="J16" s="59" t="str">
        <f t="shared" si="1"/>
        <v/>
      </c>
      <c r="K16" s="40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</row>
    <row r="17" spans="2:40" ht="15" customHeight="1">
      <c r="B17" s="55"/>
      <c r="C17" s="40"/>
      <c r="D17" s="40"/>
      <c r="E17" s="40"/>
      <c r="F17" s="40"/>
      <c r="G17" s="40"/>
      <c r="H17" s="40"/>
      <c r="I17" s="56"/>
      <c r="J17" s="59" t="str">
        <f t="shared" si="1"/>
        <v/>
      </c>
      <c r="K17" s="40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2:40" ht="15" customHeight="1">
      <c r="B18" s="55"/>
      <c r="C18" s="40"/>
      <c r="D18" s="40"/>
      <c r="E18" s="40"/>
      <c r="F18" s="40"/>
      <c r="G18" s="40"/>
      <c r="H18" s="40"/>
      <c r="I18" s="56"/>
      <c r="J18" s="59" t="str">
        <f t="shared" si="1"/>
        <v/>
      </c>
      <c r="K18" s="40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2:40" ht="15" customHeight="1">
      <c r="B19" s="49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53"/>
      <c r="AI19" s="53"/>
      <c r="AJ19" s="53"/>
      <c r="AK19" s="53"/>
      <c r="AL19" s="47"/>
      <c r="AM19" s="47"/>
      <c r="AN19" s="47"/>
    </row>
    <row r="20" spans="2:40"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53"/>
      <c r="AI20" s="53"/>
      <c r="AJ20" s="53"/>
      <c r="AK20" s="54"/>
      <c r="AL20" s="47"/>
      <c r="AM20" s="47"/>
      <c r="AN20" s="47"/>
    </row>
    <row r="21" spans="2:40"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53"/>
      <c r="AI21" s="53"/>
      <c r="AJ21" s="53"/>
      <c r="AK21" s="54"/>
      <c r="AL21" s="47"/>
      <c r="AM21" s="47"/>
      <c r="AN21" s="47"/>
    </row>
    <row r="22" spans="2:40" ht="15" customHeight="1">
      <c r="B22" s="48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2:40" ht="15" customHeight="1"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2:40" ht="15" customHeight="1"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2:40" ht="15" customHeight="1"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2:40" ht="15" customHeight="1"/>
    <row r="27" spans="2:40" ht="15" customHeight="1"/>
    <row r="28" spans="2:40" ht="15" customHeight="1"/>
  </sheetData>
  <mergeCells count="2">
    <mergeCell ref="B3:K3"/>
    <mergeCell ref="M3:AB3"/>
  </mergeCells>
  <phoneticPr fontId="25" type="noConversion"/>
  <dataValidations count="8">
    <dataValidation type="list" allowBlank="1" sqref="Z6:Z25" xr:uid="{6F0ED344-DE9C-4404-964E-0A9D2DB3154F}">
      <formula1>"none,Just-perceptible,Comfortable,Cinematic,—"</formula1>
    </dataValidation>
    <dataValidation type="list" allowBlank="1" sqref="U6:U25" xr:uid="{A9B007D8-3961-445F-BA86-475227DC6706}">
      <formula1>"Imperceptible,Cinematic ease,Deliberate pan,Fast,Snap,Computed,—"</formula1>
    </dataValidation>
    <dataValidation type="list" allowBlank="1" sqref="N6:N25" xr:uid="{212CF25D-8B69-4E4A-931C-38FA6B17AF72}">
      <formula1>"WP,TIME,ASTRO"</formula1>
    </dataValidation>
    <dataValidation type="list" allowBlank="1" sqref="P6:P30" xr:uid="{747FB747-7048-467C-929F-C394A9DA7991}">
      <formula1>"Pan Follow,Approach,Lock"</formula1>
      <formula2>0</formula2>
    </dataValidation>
    <dataValidation type="list" allowBlank="1" sqref="N6:N30" xr:uid="{EBF5E5C1-56BA-40CD-BA5A-8344B9E8A476}">
      <formula1>"WP,TIME,ASTRO"</formula1>
      <formula2>0</formula2>
    </dataValidation>
    <dataValidation type="list" allowBlank="1" sqref="C6:C30" xr:uid="{AAE4F355-9056-4716-B7F8-A56DA32BD475}">
      <formula1>"DRIVE,STOP,TURN,WAYPOINT,HOLD"</formula1>
      <formula2>0</formula2>
    </dataValidation>
    <dataValidation type="list" allowBlank="1" showInputMessage="1" showErrorMessage="1" sqref="T6:T60" xr:uid="{7D2B7968-B14F-4E22-8491-D3AF910FF679}">
      <formula1>"sun,moon,gc"</formula1>
    </dataValidation>
    <dataValidation type="list" allowBlank="1" showInputMessage="1" showErrorMessage="1" sqref="S6:S60" xr:uid="{40FCBD22-F683-47CF-9984-C3594BE69C33}">
      <formula1>"Pan Follow,Lock,Move,Track,Track-yaw,END"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>
      <c r="A1" s="79" t="s">
        <v>53</v>
      </c>
      <c r="B1" s="70"/>
      <c r="C1" s="70"/>
      <c r="D1" s="70"/>
      <c r="E1" s="70"/>
      <c r="F1" s="70"/>
    </row>
    <row r="3" spans="1:6" ht="22" customHeight="1">
      <c r="B3" s="89" t="s">
        <v>54</v>
      </c>
      <c r="C3" s="70"/>
      <c r="D3" s="70"/>
      <c r="E3" s="70"/>
    </row>
    <row r="4" spans="1:6" ht="33">
      <c r="B4" s="1" t="s">
        <v>55</v>
      </c>
      <c r="C4" s="10">
        <v>0.85293981481481485</v>
      </c>
      <c r="E4" s="1" t="s">
        <v>56</v>
      </c>
      <c r="F4" s="4" t="s">
        <v>475</v>
      </c>
    </row>
    <row r="5" spans="1:6" ht="16.5">
      <c r="B5" s="1" t="s">
        <v>39</v>
      </c>
      <c r="C5" s="4" t="s">
        <v>38</v>
      </c>
    </row>
    <row r="7" spans="1:6">
      <c r="B7" s="72" t="s">
        <v>57</v>
      </c>
      <c r="C7" s="70"/>
      <c r="D7" s="70"/>
      <c r="E7" s="70"/>
    </row>
    <row r="8" spans="1:6" ht="16.5">
      <c r="B8" s="1" t="s">
        <v>58</v>
      </c>
      <c r="C8" s="11" t="s">
        <v>250</v>
      </c>
      <c r="E8" s="1" t="s">
        <v>31</v>
      </c>
      <c r="F8" s="4">
        <v>100</v>
      </c>
    </row>
    <row r="9" spans="1:6" ht="16.5">
      <c r="B9" s="1" t="s">
        <v>26</v>
      </c>
      <c r="C9" s="4" t="s">
        <v>27</v>
      </c>
      <c r="E9" s="1" t="s">
        <v>59</v>
      </c>
      <c r="F9" s="4" t="s">
        <v>85</v>
      </c>
    </row>
    <row r="10" spans="1:6" ht="16.5">
      <c r="B10" s="1" t="s">
        <v>60</v>
      </c>
      <c r="C10" s="4">
        <v>64</v>
      </c>
      <c r="E10" s="1" t="s">
        <v>61</v>
      </c>
      <c r="F10" s="4">
        <v>0</v>
      </c>
    </row>
    <row r="12" spans="1:6">
      <c r="B12" s="74" t="s">
        <v>62</v>
      </c>
      <c r="C12" s="70"/>
      <c r="D12" s="70"/>
      <c r="E12" s="70"/>
    </row>
    <row r="13" spans="1:6" ht="16.5">
      <c r="B13" s="1" t="s">
        <v>63</v>
      </c>
      <c r="C13" s="4">
        <v>0</v>
      </c>
      <c r="E13" s="1" t="s">
        <v>64</v>
      </c>
      <c r="F13" s="4">
        <v>0</v>
      </c>
    </row>
    <row r="15" spans="1:6">
      <c r="B15" s="88" t="s">
        <v>65</v>
      </c>
      <c r="C15" s="70"/>
      <c r="D15" s="70"/>
      <c r="E15" s="70"/>
    </row>
    <row r="16" spans="1:6" ht="16.5">
      <c r="B16" s="1" t="s">
        <v>51</v>
      </c>
      <c r="C16" s="4">
        <v>0</v>
      </c>
      <c r="E16" s="1" t="s">
        <v>66</v>
      </c>
      <c r="F16" s="4">
        <v>0</v>
      </c>
    </row>
    <row r="17" spans="2:6" ht="16.5">
      <c r="B17" s="1" t="s">
        <v>50</v>
      </c>
      <c r="C17" s="4">
        <v>0</v>
      </c>
    </row>
    <row r="19" spans="2:6">
      <c r="B19" s="90" t="s">
        <v>67</v>
      </c>
      <c r="C19" s="70"/>
      <c r="D19" s="70"/>
      <c r="E19" s="70"/>
    </row>
    <row r="20" spans="2:6">
      <c r="B20" s="80"/>
      <c r="C20" s="81"/>
      <c r="D20" s="81"/>
      <c r="E20" s="81"/>
      <c r="F20" s="82"/>
    </row>
    <row r="21" spans="2:6">
      <c r="B21" s="83"/>
      <c r="C21" s="70"/>
      <c r="D21" s="70"/>
      <c r="E21" s="70"/>
      <c r="F21" s="84"/>
    </row>
    <row r="22" spans="2:6">
      <c r="B22" s="83"/>
      <c r="C22" s="70"/>
      <c r="D22" s="70"/>
      <c r="E22" s="70"/>
      <c r="F22" s="84"/>
    </row>
    <row r="23" spans="2:6">
      <c r="B23" s="83"/>
      <c r="C23" s="70"/>
      <c r="D23" s="70"/>
      <c r="E23" s="70"/>
      <c r="F23" s="84"/>
    </row>
    <row r="24" spans="2:6">
      <c r="B24" s="85"/>
      <c r="C24" s="86"/>
      <c r="D24" s="86"/>
      <c r="E24" s="86"/>
      <c r="F24" s="87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D41" sqref="D41"/>
    </sheetView>
  </sheetViews>
  <sheetFormatPr defaultRowHeight="14.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O34"/>
  <sheetViews>
    <sheetView showGridLines="0" workbookViewId="0">
      <pane ySplit="1" topLeftCell="A2" activePane="bottomLeft" state="frozen"/>
      <selection pane="bottomLeft" activeCell="G30" sqref="G30"/>
    </sheetView>
  </sheetViews>
  <sheetFormatPr defaultRowHeight="14.5"/>
  <cols>
    <col min="1" max="1" width="10.08984375" style="18" bestFit="1" customWidth="1"/>
    <col min="2" max="2" width="4.81640625" bestFit="1" customWidth="1"/>
    <col min="3" max="3" width="5.453125" bestFit="1" customWidth="1"/>
    <col min="4" max="4" width="24.36328125" bestFit="1" customWidth="1"/>
    <col min="5" max="5" width="9.08984375" bestFit="1" customWidth="1"/>
    <col min="6" max="6" width="9.7265625" bestFit="1" customWidth="1"/>
    <col min="7" max="7" width="11.26953125" bestFit="1" customWidth="1"/>
    <col min="8" max="8" width="11.81640625" bestFit="1" customWidth="1"/>
    <col min="9" max="9" width="13.1796875" bestFit="1" customWidth="1"/>
    <col min="10" max="10" width="10.6328125" bestFit="1" customWidth="1"/>
    <col min="11" max="11" width="10" bestFit="1" customWidth="1"/>
    <col min="12" max="12" width="16.453125" bestFit="1" customWidth="1"/>
    <col min="13" max="13" width="7.26953125" bestFit="1" customWidth="1"/>
    <col min="14" max="14" width="19.1796875" bestFit="1" customWidth="1"/>
    <col min="15" max="15" width="11.6328125" bestFit="1" customWidth="1"/>
    <col min="16" max="16" width="10.7265625" bestFit="1" customWidth="1"/>
    <col min="17" max="17" width="10.81640625" bestFit="1" customWidth="1"/>
    <col min="18" max="20" width="8.7265625" customWidth="1"/>
  </cols>
  <sheetData>
    <row r="1" spans="1:15" ht="24" customHeight="1">
      <c r="A1" s="18" t="s">
        <v>75</v>
      </c>
      <c r="B1" t="s">
        <v>76</v>
      </c>
      <c r="C1" t="s">
        <v>70</v>
      </c>
      <c r="D1" t="s">
        <v>77</v>
      </c>
      <c r="E1" t="s">
        <v>363</v>
      </c>
      <c r="F1" t="s">
        <v>364</v>
      </c>
      <c r="L1" t="s">
        <v>365</v>
      </c>
      <c r="M1" t="s">
        <v>366</v>
      </c>
      <c r="N1" t="s">
        <v>367</v>
      </c>
      <c r="O1" t="s">
        <v>368</v>
      </c>
    </row>
    <row r="2" spans="1:15">
      <c r="A2" s="18">
        <v>0</v>
      </c>
      <c r="B2" t="s">
        <v>101</v>
      </c>
      <c r="C2">
        <v>0</v>
      </c>
      <c r="D2" t="s">
        <v>414</v>
      </c>
      <c r="E2">
        <v>3173950</v>
      </c>
      <c r="F2">
        <v>3288871</v>
      </c>
    </row>
    <row r="3" spans="1:15">
      <c r="A3" s="18">
        <v>0</v>
      </c>
      <c r="B3" t="s">
        <v>102</v>
      </c>
      <c r="C3">
        <v>98</v>
      </c>
      <c r="D3" t="s">
        <v>338</v>
      </c>
      <c r="E3">
        <v>3173950</v>
      </c>
      <c r="F3">
        <v>3288871</v>
      </c>
    </row>
    <row r="4" spans="1:15">
      <c r="A4" s="18">
        <v>1.1574074074074073E-5</v>
      </c>
      <c r="B4" t="s">
        <v>101</v>
      </c>
      <c r="C4">
        <v>10</v>
      </c>
      <c r="D4" t="s">
        <v>328</v>
      </c>
      <c r="E4">
        <v>3173950</v>
      </c>
      <c r="F4">
        <v>3288871</v>
      </c>
    </row>
    <row r="5" spans="1:15">
      <c r="A5" s="18">
        <v>1.1574074074074073E-5</v>
      </c>
      <c r="B5" t="s">
        <v>101</v>
      </c>
      <c r="C5">
        <v>20</v>
      </c>
      <c r="D5" t="s">
        <v>329</v>
      </c>
      <c r="E5">
        <v>3173966</v>
      </c>
      <c r="F5">
        <v>3288887</v>
      </c>
    </row>
    <row r="6" spans="1:15">
      <c r="A6" s="18">
        <v>2.3148148148148147E-5</v>
      </c>
      <c r="B6" t="s">
        <v>101</v>
      </c>
      <c r="C6">
        <v>30</v>
      </c>
      <c r="D6" t="s">
        <v>330</v>
      </c>
      <c r="E6">
        <v>3174070</v>
      </c>
      <c r="F6">
        <v>3288991</v>
      </c>
    </row>
    <row r="7" spans="1:15">
      <c r="A7" s="18">
        <v>2.3148148148148147E-5</v>
      </c>
      <c r="B7" t="s">
        <v>101</v>
      </c>
      <c r="C7">
        <v>40</v>
      </c>
      <c r="D7" t="s">
        <v>331</v>
      </c>
      <c r="E7">
        <v>3174166</v>
      </c>
      <c r="F7">
        <v>3289087</v>
      </c>
    </row>
    <row r="8" spans="1:15">
      <c r="A8" s="18">
        <v>2.3148148148148147E-5</v>
      </c>
      <c r="B8" t="s">
        <v>101</v>
      </c>
      <c r="C8">
        <v>50</v>
      </c>
      <c r="D8" t="s">
        <v>332</v>
      </c>
      <c r="E8">
        <v>3174238</v>
      </c>
      <c r="F8">
        <v>3289159</v>
      </c>
    </row>
    <row r="9" spans="1:15">
      <c r="A9" s="18">
        <v>2.3148148148148147E-5</v>
      </c>
      <c r="B9" t="s">
        <v>101</v>
      </c>
      <c r="C9">
        <v>60</v>
      </c>
      <c r="D9" t="s">
        <v>333</v>
      </c>
      <c r="E9">
        <v>3174576</v>
      </c>
      <c r="F9">
        <v>3289497</v>
      </c>
    </row>
    <row r="10" spans="1:15">
      <c r="A10" s="18">
        <v>2.3148148148148147E-5</v>
      </c>
      <c r="B10" t="s">
        <v>101</v>
      </c>
      <c r="C10">
        <v>70</v>
      </c>
      <c r="D10" t="s">
        <v>334</v>
      </c>
      <c r="E10">
        <v>3174826</v>
      </c>
      <c r="F10">
        <v>3289747</v>
      </c>
    </row>
    <row r="11" spans="1:15">
      <c r="A11" s="18">
        <v>3.4722222222222222E-5</v>
      </c>
      <c r="B11" t="s">
        <v>101</v>
      </c>
      <c r="C11">
        <v>80</v>
      </c>
      <c r="D11" t="s">
        <v>335</v>
      </c>
      <c r="E11">
        <v>3175452</v>
      </c>
      <c r="F11">
        <v>3290373</v>
      </c>
    </row>
    <row r="12" spans="1:15">
      <c r="A12" s="18">
        <v>3.4722222222222222E-5</v>
      </c>
      <c r="B12" t="s">
        <v>101</v>
      </c>
      <c r="C12">
        <v>90</v>
      </c>
      <c r="D12" t="s">
        <v>336</v>
      </c>
      <c r="E12">
        <v>3176037</v>
      </c>
      <c r="F12">
        <v>3290958</v>
      </c>
    </row>
    <row r="13" spans="1:15">
      <c r="A13" s="18">
        <v>4.6296296296296294E-5</v>
      </c>
      <c r="B13" t="s">
        <v>101</v>
      </c>
      <c r="C13">
        <v>100</v>
      </c>
      <c r="D13" t="s">
        <v>337</v>
      </c>
      <c r="E13">
        <v>3177200</v>
      </c>
      <c r="F13">
        <v>3292121</v>
      </c>
    </row>
    <row r="14" spans="1:15">
      <c r="A14" s="18">
        <v>4.6296296296296294E-5</v>
      </c>
      <c r="B14" t="s">
        <v>101</v>
      </c>
      <c r="C14">
        <v>100</v>
      </c>
      <c r="D14" t="s">
        <v>337</v>
      </c>
      <c r="E14">
        <v>3178387</v>
      </c>
      <c r="F14">
        <v>3293308</v>
      </c>
    </row>
    <row r="15" spans="1:15">
      <c r="A15" s="18">
        <v>4.6296296296296294E-5</v>
      </c>
      <c r="B15" t="s">
        <v>101</v>
      </c>
      <c r="C15">
        <v>100</v>
      </c>
      <c r="D15" t="s">
        <v>337</v>
      </c>
      <c r="E15">
        <v>3179258</v>
      </c>
      <c r="F15">
        <v>3294179</v>
      </c>
    </row>
    <row r="16" spans="1:15">
      <c r="A16" s="18">
        <v>5.7870370370370373E-5</v>
      </c>
      <c r="B16" t="s">
        <v>101</v>
      </c>
      <c r="C16">
        <v>100</v>
      </c>
      <c r="D16" t="s">
        <v>337</v>
      </c>
      <c r="E16">
        <v>3181103</v>
      </c>
      <c r="F16">
        <v>3296024</v>
      </c>
    </row>
    <row r="17" spans="1:15">
      <c r="A17" s="18">
        <v>1.3888888888888889E-4</v>
      </c>
      <c r="B17" t="s">
        <v>324</v>
      </c>
      <c r="C17">
        <v>1</v>
      </c>
      <c r="D17" t="s">
        <v>327</v>
      </c>
      <c r="E17">
        <v>3233997</v>
      </c>
      <c r="F17">
        <v>3348918</v>
      </c>
    </row>
    <row r="18" spans="1:15">
      <c r="A18" s="18">
        <v>2.3148148148148149E-4</v>
      </c>
      <c r="B18" t="s">
        <v>361</v>
      </c>
      <c r="C18">
        <v>180</v>
      </c>
      <c r="D18" t="s">
        <v>415</v>
      </c>
      <c r="E18">
        <v>3352025</v>
      </c>
      <c r="F18">
        <v>3466946</v>
      </c>
      <c r="N18">
        <v>180</v>
      </c>
      <c r="O18">
        <v>1</v>
      </c>
    </row>
    <row r="19" spans="1:15">
      <c r="A19" s="18">
        <v>4.1666666666666669E-4</v>
      </c>
      <c r="B19" t="s">
        <v>102</v>
      </c>
      <c r="C19">
        <v>103</v>
      </c>
      <c r="D19" t="s">
        <v>369</v>
      </c>
      <c r="E19">
        <v>3618593</v>
      </c>
      <c r="F19">
        <v>3733601</v>
      </c>
    </row>
    <row r="20" spans="1:15">
      <c r="A20" s="18">
        <v>4.1666666666666669E-4</v>
      </c>
      <c r="B20" t="s">
        <v>102</v>
      </c>
      <c r="C20">
        <v>108</v>
      </c>
      <c r="D20" t="s">
        <v>370</v>
      </c>
      <c r="E20">
        <v>3628685</v>
      </c>
      <c r="F20">
        <v>3743606</v>
      </c>
    </row>
    <row r="21" spans="1:15">
      <c r="A21" s="18">
        <v>4.2824074074074075E-4</v>
      </c>
      <c r="B21" t="s">
        <v>102</v>
      </c>
      <c r="C21">
        <v>113</v>
      </c>
      <c r="D21" t="s">
        <v>371</v>
      </c>
      <c r="E21">
        <v>3643562</v>
      </c>
      <c r="F21">
        <v>3758570</v>
      </c>
    </row>
    <row r="22" spans="1:15">
      <c r="A22" s="18">
        <v>4.3981481481481481E-4</v>
      </c>
      <c r="B22" t="s">
        <v>102</v>
      </c>
      <c r="C22">
        <v>118</v>
      </c>
      <c r="D22" t="s">
        <v>372</v>
      </c>
      <c r="E22">
        <v>3652697</v>
      </c>
      <c r="F22">
        <v>3767705</v>
      </c>
    </row>
    <row r="23" spans="1:15">
      <c r="A23" s="18">
        <v>4.3981481481481481E-4</v>
      </c>
      <c r="B23" t="s">
        <v>102</v>
      </c>
      <c r="C23">
        <v>123</v>
      </c>
      <c r="D23" t="s">
        <v>373</v>
      </c>
      <c r="E23">
        <v>3668096</v>
      </c>
      <c r="F23">
        <v>3783017</v>
      </c>
    </row>
    <row r="24" spans="1:15">
      <c r="A24" s="18">
        <v>4.5138888888888887E-4</v>
      </c>
      <c r="B24" t="s">
        <v>102</v>
      </c>
      <c r="C24">
        <v>128</v>
      </c>
      <c r="D24" t="s">
        <v>374</v>
      </c>
      <c r="E24">
        <v>3680624</v>
      </c>
      <c r="F24">
        <v>3795545</v>
      </c>
    </row>
    <row r="25" spans="1:15">
      <c r="A25" s="18">
        <v>4.6296296296296298E-4</v>
      </c>
      <c r="B25" t="s">
        <v>102</v>
      </c>
      <c r="C25">
        <v>133</v>
      </c>
      <c r="D25" t="s">
        <v>375</v>
      </c>
      <c r="E25">
        <v>3694196</v>
      </c>
      <c r="F25">
        <v>3809117</v>
      </c>
    </row>
    <row r="26" spans="1:15">
      <c r="A26" s="18">
        <v>4.9768518518518521E-4</v>
      </c>
      <c r="B26" t="s">
        <v>324</v>
      </c>
      <c r="C26">
        <v>2</v>
      </c>
      <c r="D26" t="s">
        <v>339</v>
      </c>
      <c r="E26">
        <v>3753008</v>
      </c>
      <c r="F26">
        <v>3867929</v>
      </c>
    </row>
    <row r="27" spans="1:15">
      <c r="A27" s="18">
        <v>5.2083333333333333E-4</v>
      </c>
      <c r="B27" t="s">
        <v>325</v>
      </c>
      <c r="C27">
        <v>133</v>
      </c>
      <c r="D27" t="s">
        <v>375</v>
      </c>
      <c r="E27">
        <v>3777020</v>
      </c>
      <c r="F27">
        <v>3891941</v>
      </c>
    </row>
    <row r="28" spans="1:15">
      <c r="A28" s="18">
        <v>5.6712962962962967E-4</v>
      </c>
      <c r="B28" t="s">
        <v>361</v>
      </c>
      <c r="C28">
        <v>180</v>
      </c>
      <c r="D28" t="s">
        <v>416</v>
      </c>
      <c r="E28">
        <v>3858713</v>
      </c>
      <c r="F28">
        <v>3973721</v>
      </c>
      <c r="N28">
        <v>180</v>
      </c>
      <c r="O28">
        <v>2</v>
      </c>
    </row>
    <row r="29" spans="1:15">
      <c r="A29" s="18">
        <v>1.7592592592592592E-3</v>
      </c>
      <c r="B29" t="s">
        <v>102</v>
      </c>
      <c r="C29">
        <v>98</v>
      </c>
      <c r="D29" t="s">
        <v>338</v>
      </c>
      <c r="E29">
        <v>5627771</v>
      </c>
      <c r="F29">
        <v>5742779</v>
      </c>
    </row>
    <row r="30" spans="1:15">
      <c r="A30" s="18">
        <v>1.8055555555555555E-3</v>
      </c>
      <c r="B30" t="s">
        <v>324</v>
      </c>
      <c r="C30">
        <v>3</v>
      </c>
      <c r="D30" t="s">
        <v>340</v>
      </c>
      <c r="E30">
        <v>5700416</v>
      </c>
      <c r="F30">
        <v>5815424</v>
      </c>
    </row>
    <row r="31" spans="1:15">
      <c r="A31" s="18">
        <v>1.8634259259259259E-3</v>
      </c>
      <c r="B31" t="s">
        <v>325</v>
      </c>
      <c r="C31">
        <v>98</v>
      </c>
      <c r="D31" t="s">
        <v>338</v>
      </c>
      <c r="E31">
        <v>5775062</v>
      </c>
      <c r="F31">
        <v>5889983</v>
      </c>
    </row>
    <row r="32" spans="1:15">
      <c r="A32" s="18">
        <v>1.8749999999999999E-3</v>
      </c>
      <c r="B32" t="s">
        <v>361</v>
      </c>
      <c r="C32">
        <v>270</v>
      </c>
      <c r="D32" t="s">
        <v>417</v>
      </c>
      <c r="E32">
        <v>5802641</v>
      </c>
      <c r="F32">
        <v>5917562</v>
      </c>
      <c r="N32">
        <v>270</v>
      </c>
      <c r="O32">
        <v>3</v>
      </c>
    </row>
    <row r="33" spans="1:15">
      <c r="A33" s="18">
        <v>2.0949074074074073E-3</v>
      </c>
      <c r="B33" t="s">
        <v>324</v>
      </c>
      <c r="C33">
        <v>4</v>
      </c>
      <c r="D33" t="s">
        <v>359</v>
      </c>
      <c r="E33">
        <v>6059030</v>
      </c>
      <c r="F33">
        <v>6173951</v>
      </c>
    </row>
    <row r="34" spans="1:15">
      <c r="A34" s="18">
        <v>2.1875000000000002E-3</v>
      </c>
      <c r="B34" t="s">
        <v>361</v>
      </c>
      <c r="C34">
        <v>270</v>
      </c>
      <c r="D34" t="s">
        <v>418</v>
      </c>
      <c r="E34">
        <v>6059030</v>
      </c>
      <c r="F34">
        <v>6173951</v>
      </c>
      <c r="N34">
        <v>270</v>
      </c>
      <c r="O34">
        <v>4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J3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4.5"/>
  <cols>
    <col min="1" max="3" width="12" customWidth="1"/>
    <col min="4" max="4" width="30" customWidth="1"/>
    <col min="10" max="10" width="16.1796875" customWidth="1"/>
  </cols>
  <sheetData>
    <row r="1" spans="1:10">
      <c r="A1" s="6" t="s">
        <v>278</v>
      </c>
      <c r="B1" s="6" t="s">
        <v>76</v>
      </c>
      <c r="C1" s="6" t="s">
        <v>488</v>
      </c>
      <c r="D1" s="6" t="s">
        <v>489</v>
      </c>
      <c r="E1" t="s">
        <v>490</v>
      </c>
      <c r="F1" t="s">
        <v>477</v>
      </c>
      <c r="G1" t="s">
        <v>280</v>
      </c>
      <c r="H1" t="s">
        <v>491</v>
      </c>
      <c r="I1" t="s">
        <v>492</v>
      </c>
      <c r="J1" t="s">
        <v>281</v>
      </c>
    </row>
    <row r="2" spans="1:10">
      <c r="A2" s="94">
        <v>0</v>
      </c>
      <c r="B2" t="s">
        <v>102</v>
      </c>
      <c r="C2">
        <v>0</v>
      </c>
      <c r="D2">
        <v>0</v>
      </c>
      <c r="E2" t="s">
        <v>101</v>
      </c>
      <c r="F2" t="s">
        <v>481</v>
      </c>
      <c r="H2">
        <v>0</v>
      </c>
      <c r="I2">
        <v>0</v>
      </c>
      <c r="J2" t="s">
        <v>482</v>
      </c>
    </row>
    <row r="3" spans="1:10">
      <c r="A3" s="94">
        <v>0</v>
      </c>
      <c r="B3" t="s">
        <v>102</v>
      </c>
      <c r="C3">
        <v>0</v>
      </c>
      <c r="D3">
        <v>0</v>
      </c>
      <c r="E3" t="s">
        <v>101</v>
      </c>
      <c r="F3" t="s">
        <v>481</v>
      </c>
      <c r="H3">
        <v>0</v>
      </c>
      <c r="I3">
        <v>0</v>
      </c>
      <c r="J3" t="s">
        <v>482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634"/>
  <sheetViews>
    <sheetView showGridLines="0" workbookViewId="0">
      <pane ySplit="1" topLeftCell="A373" activePane="bottomLeft" state="frozen"/>
      <selection pane="bottomLeft" activeCell="F407" sqref="F407"/>
    </sheetView>
  </sheetViews>
  <sheetFormatPr defaultRowHeight="14.5"/>
  <cols>
    <col min="1" max="1" width="21.453125" style="18" customWidth="1"/>
    <col min="2" max="2" width="12" style="18" customWidth="1"/>
    <col min="3" max="3" width="60" style="18" customWidth="1"/>
  </cols>
  <sheetData>
    <row r="1" spans="1:3">
      <c r="A1" s="17" t="s">
        <v>75</v>
      </c>
      <c r="B1" s="17" t="s">
        <v>78</v>
      </c>
      <c r="C1" s="17" t="s">
        <v>79</v>
      </c>
    </row>
    <row r="2" spans="1:3">
      <c r="A2" s="18" t="s">
        <v>478</v>
      </c>
      <c r="B2" s="18" t="s">
        <v>479</v>
      </c>
      <c r="C2" s="18" t="s">
        <v>480</v>
      </c>
    </row>
    <row r="3" spans="1:3">
      <c r="A3" s="18" t="s">
        <v>483</v>
      </c>
      <c r="B3" s="18" t="s">
        <v>479</v>
      </c>
      <c r="C3" s="68" t="s">
        <v>484</v>
      </c>
    </row>
    <row r="4" spans="1:3">
      <c r="A4" s="18" t="s">
        <v>485</v>
      </c>
      <c r="B4" s="18" t="s">
        <v>486</v>
      </c>
      <c r="C4" s="18" t="s">
        <v>487</v>
      </c>
    </row>
    <row r="5" spans="1:3">
      <c r="A5" s="18" t="s">
        <v>493</v>
      </c>
      <c r="B5" s="18" t="s">
        <v>486</v>
      </c>
      <c r="C5" s="18" t="s">
        <v>494</v>
      </c>
    </row>
    <row r="6" spans="1:3">
      <c r="A6" s="18" t="s">
        <v>495</v>
      </c>
      <c r="B6" s="18" t="s">
        <v>479</v>
      </c>
      <c r="C6" s="18" t="s">
        <v>480</v>
      </c>
    </row>
    <row r="7" spans="1:3">
      <c r="A7" s="18" t="s">
        <v>496</v>
      </c>
      <c r="B7" s="18" t="s">
        <v>479</v>
      </c>
      <c r="C7" s="18" t="s">
        <v>484</v>
      </c>
    </row>
    <row r="8" spans="1:3">
      <c r="A8" s="18" t="s">
        <v>497</v>
      </c>
      <c r="B8" s="18" t="s">
        <v>486</v>
      </c>
      <c r="C8" s="68" t="s">
        <v>498</v>
      </c>
    </row>
    <row r="9" spans="1:3">
      <c r="A9" s="18" t="s">
        <v>501</v>
      </c>
      <c r="B9" s="18" t="s">
        <v>502</v>
      </c>
      <c r="C9" s="18" t="s">
        <v>503</v>
      </c>
    </row>
    <row r="10" spans="1:3">
      <c r="A10" s="18" t="s">
        <v>501</v>
      </c>
      <c r="B10" s="18" t="s">
        <v>502</v>
      </c>
      <c r="C10" s="68" t="s">
        <v>504</v>
      </c>
    </row>
    <row r="11" spans="1:3">
      <c r="A11" s="18" t="s">
        <v>501</v>
      </c>
      <c r="B11" s="18" t="s">
        <v>502</v>
      </c>
      <c r="C11" s="18" t="s">
        <v>505</v>
      </c>
    </row>
    <row r="12" spans="1:3">
      <c r="A12" s="18" t="s">
        <v>501</v>
      </c>
      <c r="B12" s="18" t="s">
        <v>502</v>
      </c>
      <c r="C12" s="18" t="s">
        <v>506</v>
      </c>
    </row>
    <row r="13" spans="1:3">
      <c r="A13" s="18" t="s">
        <v>501</v>
      </c>
      <c r="B13" s="18" t="s">
        <v>502</v>
      </c>
      <c r="C13" s="18" t="s">
        <v>507</v>
      </c>
    </row>
    <row r="14" spans="1:3" ht="29">
      <c r="A14" s="18" t="s">
        <v>501</v>
      </c>
      <c r="B14" s="18" t="s">
        <v>502</v>
      </c>
      <c r="C14" s="68" t="s">
        <v>508</v>
      </c>
    </row>
    <row r="15" spans="1:3">
      <c r="A15" s="18" t="s">
        <v>509</v>
      </c>
      <c r="B15" s="18" t="s">
        <v>502</v>
      </c>
      <c r="C15" s="18" t="s">
        <v>510</v>
      </c>
    </row>
    <row r="16" spans="1:3">
      <c r="A16" s="18" t="s">
        <v>511</v>
      </c>
      <c r="B16" s="18" t="s">
        <v>512</v>
      </c>
      <c r="C16" s="68" t="s">
        <v>513</v>
      </c>
    </row>
    <row r="17" spans="1:3">
      <c r="A17" s="18" t="s">
        <v>511</v>
      </c>
      <c r="B17" s="18" t="s">
        <v>512</v>
      </c>
      <c r="C17" s="18" t="s">
        <v>514</v>
      </c>
    </row>
    <row r="18" spans="1:3">
      <c r="A18" s="18" t="s">
        <v>511</v>
      </c>
      <c r="B18" s="18" t="s">
        <v>512</v>
      </c>
      <c r="C18" s="18" t="s">
        <v>515</v>
      </c>
    </row>
    <row r="19" spans="1:3">
      <c r="A19" s="18" t="s">
        <v>511</v>
      </c>
      <c r="B19" s="18" t="s">
        <v>512</v>
      </c>
      <c r="C19" s="68" t="s">
        <v>516</v>
      </c>
    </row>
    <row r="20" spans="1:3">
      <c r="A20" s="18" t="s">
        <v>511</v>
      </c>
      <c r="B20" s="18" t="s">
        <v>512</v>
      </c>
      <c r="C20" s="18" t="s">
        <v>517</v>
      </c>
    </row>
    <row r="21" spans="1:3">
      <c r="A21" s="18" t="s">
        <v>511</v>
      </c>
      <c r="B21" s="18" t="s">
        <v>512</v>
      </c>
      <c r="C21" s="68" t="s">
        <v>518</v>
      </c>
    </row>
    <row r="22" spans="1:3">
      <c r="A22" s="18" t="s">
        <v>511</v>
      </c>
      <c r="B22" s="18" t="s">
        <v>512</v>
      </c>
      <c r="C22" s="18" t="s">
        <v>519</v>
      </c>
    </row>
    <row r="23" spans="1:3">
      <c r="A23" s="18" t="s">
        <v>511</v>
      </c>
      <c r="B23" s="18" t="s">
        <v>512</v>
      </c>
      <c r="C23" s="68" t="s">
        <v>520</v>
      </c>
    </row>
    <row r="24" spans="1:3">
      <c r="A24" s="18" t="s">
        <v>511</v>
      </c>
      <c r="B24" s="18" t="s">
        <v>512</v>
      </c>
      <c r="C24" s="18" t="s">
        <v>521</v>
      </c>
    </row>
    <row r="25" spans="1:3">
      <c r="A25" s="18" t="s">
        <v>511</v>
      </c>
      <c r="B25" s="18" t="s">
        <v>512</v>
      </c>
      <c r="C25" s="68" t="s">
        <v>522</v>
      </c>
    </row>
    <row r="26" spans="1:3">
      <c r="A26" s="18" t="s">
        <v>511</v>
      </c>
      <c r="B26" s="18" t="s">
        <v>512</v>
      </c>
      <c r="C26" s="18" t="s">
        <v>519</v>
      </c>
    </row>
    <row r="27" spans="1:3">
      <c r="A27" s="18" t="s">
        <v>511</v>
      </c>
      <c r="B27" s="18" t="s">
        <v>512</v>
      </c>
      <c r="C27" s="68" t="s">
        <v>523</v>
      </c>
    </row>
    <row r="28" spans="1:3">
      <c r="A28" s="18" t="s">
        <v>511</v>
      </c>
      <c r="B28" s="18" t="s">
        <v>512</v>
      </c>
      <c r="C28" s="18" t="s">
        <v>524</v>
      </c>
    </row>
    <row r="29" spans="1:3" ht="29">
      <c r="A29" s="18" t="s">
        <v>511</v>
      </c>
      <c r="B29" s="18" t="s">
        <v>512</v>
      </c>
      <c r="C29" s="68" t="s">
        <v>525</v>
      </c>
    </row>
    <row r="30" spans="1:3" ht="58">
      <c r="A30" s="18" t="s">
        <v>511</v>
      </c>
      <c r="B30" s="18" t="s">
        <v>512</v>
      </c>
      <c r="C30" s="68" t="s">
        <v>526</v>
      </c>
    </row>
    <row r="31" spans="1:3" ht="29">
      <c r="A31" s="18" t="s">
        <v>511</v>
      </c>
      <c r="B31" s="18" t="s">
        <v>512</v>
      </c>
      <c r="C31" s="68" t="s">
        <v>527</v>
      </c>
    </row>
    <row r="32" spans="1:3">
      <c r="A32" s="18" t="s">
        <v>511</v>
      </c>
      <c r="B32" s="18" t="s">
        <v>512</v>
      </c>
      <c r="C32" s="18" t="s">
        <v>528</v>
      </c>
    </row>
    <row r="33" spans="1:3">
      <c r="A33" s="18" t="s">
        <v>529</v>
      </c>
      <c r="B33" s="18" t="s">
        <v>502</v>
      </c>
      <c r="C33" s="68" t="s">
        <v>503</v>
      </c>
    </row>
    <row r="34" spans="1:3">
      <c r="A34" s="18" t="s">
        <v>529</v>
      </c>
      <c r="B34" s="18" t="s">
        <v>502</v>
      </c>
      <c r="C34" s="18" t="s">
        <v>504</v>
      </c>
    </row>
    <row r="35" spans="1:3">
      <c r="A35" s="18" t="s">
        <v>529</v>
      </c>
      <c r="B35" s="18" t="s">
        <v>502</v>
      </c>
      <c r="C35" s="18" t="s">
        <v>505</v>
      </c>
    </row>
    <row r="36" spans="1:3">
      <c r="A36" s="18" t="s">
        <v>529</v>
      </c>
      <c r="B36" s="18" t="s">
        <v>502</v>
      </c>
      <c r="C36" s="18" t="s">
        <v>506</v>
      </c>
    </row>
    <row r="37" spans="1:3">
      <c r="A37" s="18" t="s">
        <v>529</v>
      </c>
      <c r="B37" s="18" t="s">
        <v>502</v>
      </c>
      <c r="C37" s="18" t="s">
        <v>507</v>
      </c>
    </row>
    <row r="38" spans="1:3" ht="29">
      <c r="A38" s="18" t="s">
        <v>529</v>
      </c>
      <c r="B38" s="18" t="s">
        <v>502</v>
      </c>
      <c r="C38" s="68" t="s">
        <v>508</v>
      </c>
    </row>
    <row r="39" spans="1:3">
      <c r="A39" s="18" t="s">
        <v>530</v>
      </c>
      <c r="B39" s="18" t="s">
        <v>502</v>
      </c>
      <c r="C39" s="18" t="s">
        <v>510</v>
      </c>
    </row>
    <row r="40" spans="1:3">
      <c r="A40" s="18" t="s">
        <v>531</v>
      </c>
      <c r="B40" s="18" t="s">
        <v>512</v>
      </c>
      <c r="C40" s="18" t="s">
        <v>513</v>
      </c>
    </row>
    <row r="41" spans="1:3">
      <c r="A41" s="18" t="s">
        <v>531</v>
      </c>
      <c r="B41" s="18" t="s">
        <v>512</v>
      </c>
      <c r="C41" s="18" t="s">
        <v>514</v>
      </c>
    </row>
    <row r="42" spans="1:3">
      <c r="A42" s="18" t="s">
        <v>531</v>
      </c>
      <c r="B42" s="18" t="s">
        <v>512</v>
      </c>
      <c r="C42" s="18" t="s">
        <v>515</v>
      </c>
    </row>
    <row r="43" spans="1:3">
      <c r="A43" s="18" t="s">
        <v>531</v>
      </c>
      <c r="B43" s="18" t="s">
        <v>512</v>
      </c>
      <c r="C43" s="18" t="s">
        <v>516</v>
      </c>
    </row>
    <row r="44" spans="1:3">
      <c r="A44" s="18" t="s">
        <v>531</v>
      </c>
      <c r="B44" s="18" t="s">
        <v>512</v>
      </c>
      <c r="C44" s="18" t="s">
        <v>517</v>
      </c>
    </row>
    <row r="45" spans="1:3">
      <c r="A45" s="18" t="s">
        <v>531</v>
      </c>
      <c r="B45" s="18" t="s">
        <v>512</v>
      </c>
      <c r="C45" s="18" t="s">
        <v>518</v>
      </c>
    </row>
    <row r="46" spans="1:3" ht="29">
      <c r="A46" s="18" t="s">
        <v>531</v>
      </c>
      <c r="B46" s="18" t="s">
        <v>512</v>
      </c>
      <c r="C46" s="68" t="s">
        <v>519</v>
      </c>
    </row>
    <row r="47" spans="1:3">
      <c r="A47" s="18" t="s">
        <v>531</v>
      </c>
      <c r="B47" s="18" t="s">
        <v>512</v>
      </c>
      <c r="C47" s="18" t="s">
        <v>520</v>
      </c>
    </row>
    <row r="48" spans="1:3">
      <c r="A48" s="18" t="s">
        <v>531</v>
      </c>
      <c r="B48" s="18" t="s">
        <v>512</v>
      </c>
      <c r="C48" s="68" t="s">
        <v>521</v>
      </c>
    </row>
    <row r="49" spans="1:3">
      <c r="A49" s="18" t="s">
        <v>531</v>
      </c>
      <c r="B49" s="18" t="s">
        <v>512</v>
      </c>
      <c r="C49" s="18" t="s">
        <v>522</v>
      </c>
    </row>
    <row r="50" spans="1:3" ht="29">
      <c r="A50" s="18" t="s">
        <v>531</v>
      </c>
      <c r="B50" s="18" t="s">
        <v>512</v>
      </c>
      <c r="C50" s="68" t="s">
        <v>519</v>
      </c>
    </row>
    <row r="51" spans="1:3">
      <c r="A51" s="18" t="s">
        <v>531</v>
      </c>
      <c r="B51" s="18" t="s">
        <v>512</v>
      </c>
      <c r="C51" s="18" t="s">
        <v>523</v>
      </c>
    </row>
    <row r="52" spans="1:3" ht="58">
      <c r="A52" s="18" t="s">
        <v>531</v>
      </c>
      <c r="B52" s="18" t="s">
        <v>512</v>
      </c>
      <c r="C52" s="68" t="s">
        <v>524</v>
      </c>
    </row>
    <row r="53" spans="1:3" ht="29">
      <c r="A53" s="18" t="s">
        <v>531</v>
      </c>
      <c r="B53" s="18" t="s">
        <v>512</v>
      </c>
      <c r="C53" s="68" t="s">
        <v>532</v>
      </c>
    </row>
    <row r="54" spans="1:3" ht="58">
      <c r="A54" s="18" t="s">
        <v>531</v>
      </c>
      <c r="B54" s="18" t="s">
        <v>512</v>
      </c>
      <c r="C54" s="68" t="s">
        <v>526</v>
      </c>
    </row>
    <row r="55" spans="1:3" ht="29">
      <c r="A55" s="18" t="s">
        <v>531</v>
      </c>
      <c r="B55" s="18" t="s">
        <v>512</v>
      </c>
      <c r="C55" s="68" t="s">
        <v>533</v>
      </c>
    </row>
    <row r="56" spans="1:3">
      <c r="A56" s="18" t="s">
        <v>531</v>
      </c>
      <c r="B56" s="18" t="s">
        <v>512</v>
      </c>
      <c r="C56" s="18" t="s">
        <v>528</v>
      </c>
    </row>
    <row r="57" spans="1:3">
      <c r="A57" s="18" t="s">
        <v>534</v>
      </c>
      <c r="B57" s="18" t="s">
        <v>502</v>
      </c>
      <c r="C57" s="68" t="s">
        <v>503</v>
      </c>
    </row>
    <row r="58" spans="1:3">
      <c r="A58" s="18" t="s">
        <v>534</v>
      </c>
      <c r="B58" s="18" t="s">
        <v>502</v>
      </c>
      <c r="C58" s="18" t="s">
        <v>504</v>
      </c>
    </row>
    <row r="59" spans="1:3">
      <c r="A59" s="18" t="s">
        <v>534</v>
      </c>
      <c r="B59" s="18" t="s">
        <v>502</v>
      </c>
      <c r="C59" s="18" t="s">
        <v>505</v>
      </c>
    </row>
    <row r="60" spans="1:3">
      <c r="A60" s="18" t="s">
        <v>534</v>
      </c>
      <c r="B60" s="18" t="s">
        <v>502</v>
      </c>
      <c r="C60" s="18" t="s">
        <v>506</v>
      </c>
    </row>
    <row r="61" spans="1:3">
      <c r="A61" s="18" t="s">
        <v>534</v>
      </c>
      <c r="B61" s="18" t="s">
        <v>502</v>
      </c>
      <c r="C61" s="18" t="s">
        <v>507</v>
      </c>
    </row>
    <row r="62" spans="1:3" ht="29">
      <c r="A62" s="18" t="s">
        <v>534</v>
      </c>
      <c r="B62" s="18" t="s">
        <v>502</v>
      </c>
      <c r="C62" s="68" t="s">
        <v>508</v>
      </c>
    </row>
    <row r="63" spans="1:3">
      <c r="A63" s="18" t="s">
        <v>535</v>
      </c>
      <c r="B63" s="18" t="s">
        <v>502</v>
      </c>
      <c r="C63" s="18" t="s">
        <v>510</v>
      </c>
    </row>
    <row r="64" spans="1:3">
      <c r="A64" s="18" t="s">
        <v>536</v>
      </c>
      <c r="B64" s="18" t="s">
        <v>512</v>
      </c>
      <c r="C64" s="18" t="s">
        <v>513</v>
      </c>
    </row>
    <row r="65" spans="1:3">
      <c r="A65" s="18" t="s">
        <v>536</v>
      </c>
      <c r="B65" s="18" t="s">
        <v>512</v>
      </c>
      <c r="C65" s="18" t="s">
        <v>514</v>
      </c>
    </row>
    <row r="66" spans="1:3">
      <c r="A66" s="18" t="s">
        <v>536</v>
      </c>
      <c r="B66" s="18" t="s">
        <v>512</v>
      </c>
      <c r="C66" s="18" t="s">
        <v>515</v>
      </c>
    </row>
    <row r="67" spans="1:3">
      <c r="A67" s="18" t="s">
        <v>536</v>
      </c>
      <c r="B67" s="18" t="s">
        <v>512</v>
      </c>
      <c r="C67" s="18" t="s">
        <v>516</v>
      </c>
    </row>
    <row r="68" spans="1:3">
      <c r="A68" s="18" t="s">
        <v>536</v>
      </c>
      <c r="B68" s="18" t="s">
        <v>512</v>
      </c>
      <c r="C68" s="18" t="s">
        <v>517</v>
      </c>
    </row>
    <row r="69" spans="1:3">
      <c r="A69" s="18" t="s">
        <v>536</v>
      </c>
      <c r="B69" s="18" t="s">
        <v>512</v>
      </c>
      <c r="C69" s="18" t="s">
        <v>518</v>
      </c>
    </row>
    <row r="70" spans="1:3">
      <c r="A70" s="18" t="s">
        <v>536</v>
      </c>
      <c r="B70" s="18" t="s">
        <v>512</v>
      </c>
      <c r="C70" s="18" t="s">
        <v>519</v>
      </c>
    </row>
    <row r="71" spans="1:3">
      <c r="A71" s="18" t="s">
        <v>536</v>
      </c>
      <c r="B71" s="18" t="s">
        <v>512</v>
      </c>
      <c r="C71" s="18" t="s">
        <v>520</v>
      </c>
    </row>
    <row r="72" spans="1:3">
      <c r="A72" s="18" t="s">
        <v>536</v>
      </c>
      <c r="B72" s="18" t="s">
        <v>512</v>
      </c>
      <c r="C72" s="18" t="s">
        <v>521</v>
      </c>
    </row>
    <row r="73" spans="1:3">
      <c r="A73" s="18" t="s">
        <v>536</v>
      </c>
      <c r="B73" s="18" t="s">
        <v>512</v>
      </c>
      <c r="C73" s="68" t="s">
        <v>522</v>
      </c>
    </row>
    <row r="74" spans="1:3">
      <c r="A74" s="18" t="s">
        <v>536</v>
      </c>
      <c r="B74" s="18" t="s">
        <v>512</v>
      </c>
      <c r="C74" s="18" t="s">
        <v>519</v>
      </c>
    </row>
    <row r="75" spans="1:3">
      <c r="A75" s="18" t="s">
        <v>536</v>
      </c>
      <c r="B75" s="18" t="s">
        <v>512</v>
      </c>
      <c r="C75" s="68" t="s">
        <v>523</v>
      </c>
    </row>
    <row r="76" spans="1:3">
      <c r="A76" s="18" t="s">
        <v>536</v>
      </c>
      <c r="B76" s="18" t="s">
        <v>512</v>
      </c>
      <c r="C76" s="18" t="s">
        <v>524</v>
      </c>
    </row>
    <row r="77" spans="1:3" ht="29">
      <c r="A77" s="18" t="s">
        <v>536</v>
      </c>
      <c r="B77" s="18" t="s">
        <v>512</v>
      </c>
      <c r="C77" s="68" t="s">
        <v>537</v>
      </c>
    </row>
    <row r="78" spans="1:3">
      <c r="A78" s="18" t="s">
        <v>536</v>
      </c>
      <c r="B78" s="18" t="s">
        <v>512</v>
      </c>
      <c r="C78" s="18" t="s">
        <v>526</v>
      </c>
    </row>
    <row r="79" spans="1:3" ht="29">
      <c r="A79" s="18" t="s">
        <v>536</v>
      </c>
      <c r="B79" s="18" t="s">
        <v>512</v>
      </c>
      <c r="C79" s="68" t="s">
        <v>538</v>
      </c>
    </row>
    <row r="80" spans="1:3">
      <c r="A80" s="18" t="s">
        <v>536</v>
      </c>
      <c r="B80" s="18" t="s">
        <v>512</v>
      </c>
      <c r="C80" s="18" t="s">
        <v>528</v>
      </c>
    </row>
    <row r="81" spans="1:3">
      <c r="A81" s="18" t="s">
        <v>539</v>
      </c>
      <c r="B81" s="18" t="s">
        <v>502</v>
      </c>
      <c r="C81" s="68" t="s">
        <v>503</v>
      </c>
    </row>
    <row r="82" spans="1:3">
      <c r="A82" s="18" t="s">
        <v>539</v>
      </c>
      <c r="B82" s="18" t="s">
        <v>502</v>
      </c>
      <c r="C82" s="18" t="s">
        <v>504</v>
      </c>
    </row>
    <row r="83" spans="1:3">
      <c r="A83" s="18" t="s">
        <v>539</v>
      </c>
      <c r="B83" s="18" t="s">
        <v>502</v>
      </c>
      <c r="C83" s="18" t="s">
        <v>505</v>
      </c>
    </row>
    <row r="84" spans="1:3">
      <c r="A84" s="18" t="s">
        <v>539</v>
      </c>
      <c r="B84" s="18" t="s">
        <v>502</v>
      </c>
      <c r="C84" s="18" t="s">
        <v>506</v>
      </c>
    </row>
    <row r="85" spans="1:3">
      <c r="A85" s="18" t="s">
        <v>539</v>
      </c>
      <c r="B85" s="18" t="s">
        <v>502</v>
      </c>
      <c r="C85" s="18" t="s">
        <v>507</v>
      </c>
    </row>
    <row r="86" spans="1:3" ht="29">
      <c r="A86" s="18" t="s">
        <v>539</v>
      </c>
      <c r="B86" s="18" t="s">
        <v>502</v>
      </c>
      <c r="C86" s="68" t="s">
        <v>508</v>
      </c>
    </row>
    <row r="87" spans="1:3">
      <c r="A87" s="18" t="s">
        <v>540</v>
      </c>
      <c r="B87" s="18" t="s">
        <v>502</v>
      </c>
      <c r="C87" s="18" t="s">
        <v>510</v>
      </c>
    </row>
    <row r="88" spans="1:3">
      <c r="A88" s="18" t="s">
        <v>541</v>
      </c>
      <c r="B88" s="18" t="s">
        <v>512</v>
      </c>
      <c r="C88" s="18" t="s">
        <v>513</v>
      </c>
    </row>
    <row r="89" spans="1:3">
      <c r="A89" s="18" t="s">
        <v>541</v>
      </c>
      <c r="B89" s="18" t="s">
        <v>512</v>
      </c>
      <c r="C89" s="18" t="s">
        <v>514</v>
      </c>
    </row>
    <row r="90" spans="1:3">
      <c r="A90" s="18" t="s">
        <v>541</v>
      </c>
      <c r="B90" s="18" t="s">
        <v>512</v>
      </c>
      <c r="C90" s="18" t="s">
        <v>515</v>
      </c>
    </row>
    <row r="91" spans="1:3">
      <c r="A91" s="18" t="s">
        <v>541</v>
      </c>
      <c r="B91" s="18" t="s">
        <v>512</v>
      </c>
      <c r="C91" s="68" t="s">
        <v>516</v>
      </c>
    </row>
    <row r="92" spans="1:3">
      <c r="A92" s="18" t="s">
        <v>541</v>
      </c>
      <c r="B92" s="18" t="s">
        <v>512</v>
      </c>
      <c r="C92" s="18" t="s">
        <v>517</v>
      </c>
    </row>
    <row r="93" spans="1:3">
      <c r="A93" s="18" t="s">
        <v>541</v>
      </c>
      <c r="B93" s="18" t="s">
        <v>512</v>
      </c>
      <c r="C93" s="18" t="s">
        <v>518</v>
      </c>
    </row>
    <row r="94" spans="1:3" ht="29">
      <c r="A94" s="18" t="s">
        <v>541</v>
      </c>
      <c r="B94" s="18" t="s">
        <v>512</v>
      </c>
      <c r="C94" s="68" t="s">
        <v>519</v>
      </c>
    </row>
    <row r="95" spans="1:3">
      <c r="A95" s="18" t="s">
        <v>541</v>
      </c>
      <c r="B95" s="18" t="s">
        <v>512</v>
      </c>
      <c r="C95" s="18" t="s">
        <v>520</v>
      </c>
    </row>
    <row r="96" spans="1:3">
      <c r="A96" s="18" t="s">
        <v>541</v>
      </c>
      <c r="B96" s="18" t="s">
        <v>512</v>
      </c>
      <c r="C96" s="18" t="s">
        <v>521</v>
      </c>
    </row>
    <row r="97" spans="1:3">
      <c r="A97" s="18" t="s">
        <v>541</v>
      </c>
      <c r="B97" s="18" t="s">
        <v>512</v>
      </c>
      <c r="C97" s="18" t="s">
        <v>522</v>
      </c>
    </row>
    <row r="98" spans="1:3">
      <c r="A98" s="18" t="s">
        <v>541</v>
      </c>
      <c r="B98" s="18" t="s">
        <v>512</v>
      </c>
      <c r="C98" s="18" t="s">
        <v>519</v>
      </c>
    </row>
    <row r="99" spans="1:3">
      <c r="A99" s="18" t="s">
        <v>541</v>
      </c>
      <c r="B99" s="18" t="s">
        <v>512</v>
      </c>
      <c r="C99" s="18" t="s">
        <v>523</v>
      </c>
    </row>
    <row r="100" spans="1:3">
      <c r="A100" s="18" t="s">
        <v>542</v>
      </c>
      <c r="B100" s="18" t="s">
        <v>512</v>
      </c>
      <c r="C100" s="18" t="s">
        <v>524</v>
      </c>
    </row>
    <row r="101" spans="1:3" ht="29">
      <c r="A101" s="18" t="s">
        <v>542</v>
      </c>
      <c r="B101" s="18" t="s">
        <v>512</v>
      </c>
      <c r="C101" s="68" t="s">
        <v>543</v>
      </c>
    </row>
    <row r="102" spans="1:3">
      <c r="A102" s="18" t="s">
        <v>542</v>
      </c>
      <c r="B102" s="18" t="s">
        <v>512</v>
      </c>
      <c r="C102" s="18" t="s">
        <v>526</v>
      </c>
    </row>
    <row r="103" spans="1:3" ht="29">
      <c r="A103" s="18" t="s">
        <v>542</v>
      </c>
      <c r="B103" s="18" t="s">
        <v>512</v>
      </c>
      <c r="C103" s="68" t="s">
        <v>544</v>
      </c>
    </row>
    <row r="104" spans="1:3">
      <c r="A104" s="18" t="s">
        <v>542</v>
      </c>
      <c r="B104" s="18" t="s">
        <v>512</v>
      </c>
      <c r="C104" s="18" t="s">
        <v>528</v>
      </c>
    </row>
    <row r="105" spans="1:3">
      <c r="A105" s="18" t="s">
        <v>545</v>
      </c>
      <c r="B105" s="18" t="s">
        <v>502</v>
      </c>
      <c r="C105" s="68" t="s">
        <v>503</v>
      </c>
    </row>
    <row r="106" spans="1:3">
      <c r="A106" s="18" t="s">
        <v>545</v>
      </c>
      <c r="B106" s="18" t="s">
        <v>502</v>
      </c>
      <c r="C106" s="68" t="s">
        <v>504</v>
      </c>
    </row>
    <row r="107" spans="1:3">
      <c r="A107" s="18" t="s">
        <v>545</v>
      </c>
      <c r="B107" s="18" t="s">
        <v>502</v>
      </c>
      <c r="C107" s="68" t="s">
        <v>505</v>
      </c>
    </row>
    <row r="108" spans="1:3" ht="29">
      <c r="A108" s="18" t="s">
        <v>545</v>
      </c>
      <c r="B108" s="18" t="s">
        <v>502</v>
      </c>
      <c r="C108" s="68" t="s">
        <v>506</v>
      </c>
    </row>
    <row r="109" spans="1:3" ht="43.5">
      <c r="A109" s="18" t="s">
        <v>545</v>
      </c>
      <c r="B109" s="18" t="s">
        <v>502</v>
      </c>
      <c r="C109" s="68" t="s">
        <v>507</v>
      </c>
    </row>
    <row r="110" spans="1:3" ht="29">
      <c r="A110" s="18" t="s">
        <v>546</v>
      </c>
      <c r="B110" s="18" t="s">
        <v>502</v>
      </c>
      <c r="C110" s="68" t="s">
        <v>508</v>
      </c>
    </row>
    <row r="111" spans="1:3">
      <c r="A111" s="18" t="s">
        <v>547</v>
      </c>
      <c r="B111" s="18" t="s">
        <v>502</v>
      </c>
      <c r="C111" s="68" t="s">
        <v>510</v>
      </c>
    </row>
    <row r="112" spans="1:3">
      <c r="A112" s="18" t="s">
        <v>548</v>
      </c>
      <c r="B112" s="18" t="s">
        <v>512</v>
      </c>
      <c r="C112" s="68" t="s">
        <v>513</v>
      </c>
    </row>
    <row r="113" spans="1:3">
      <c r="A113" s="18" t="s">
        <v>548</v>
      </c>
      <c r="B113" s="18" t="s">
        <v>512</v>
      </c>
      <c r="C113" s="18" t="s">
        <v>514</v>
      </c>
    </row>
    <row r="114" spans="1:3">
      <c r="A114" s="18" t="s">
        <v>548</v>
      </c>
      <c r="B114" s="18" t="s">
        <v>512</v>
      </c>
      <c r="C114" s="68" t="s">
        <v>515</v>
      </c>
    </row>
    <row r="115" spans="1:3">
      <c r="A115" s="18" t="s">
        <v>548</v>
      </c>
      <c r="B115" s="18" t="s">
        <v>512</v>
      </c>
      <c r="C115" s="18" t="s">
        <v>516</v>
      </c>
    </row>
    <row r="116" spans="1:3">
      <c r="A116" s="18" t="s">
        <v>548</v>
      </c>
      <c r="B116" s="18" t="s">
        <v>512</v>
      </c>
      <c r="C116" s="18" t="s">
        <v>517</v>
      </c>
    </row>
    <row r="117" spans="1:3">
      <c r="A117" s="18" t="s">
        <v>548</v>
      </c>
      <c r="B117" s="18" t="s">
        <v>512</v>
      </c>
      <c r="C117" s="68" t="s">
        <v>518</v>
      </c>
    </row>
    <row r="118" spans="1:3">
      <c r="A118" s="18" t="s">
        <v>548</v>
      </c>
      <c r="B118" s="18" t="s">
        <v>512</v>
      </c>
      <c r="C118" s="18" t="s">
        <v>519</v>
      </c>
    </row>
    <row r="119" spans="1:3">
      <c r="A119" s="18" t="s">
        <v>548</v>
      </c>
      <c r="B119" s="18" t="s">
        <v>512</v>
      </c>
      <c r="C119" s="18" t="s">
        <v>520</v>
      </c>
    </row>
    <row r="120" spans="1:3">
      <c r="A120" s="18" t="s">
        <v>548</v>
      </c>
      <c r="B120" s="18" t="s">
        <v>512</v>
      </c>
      <c r="C120" s="18" t="s">
        <v>521</v>
      </c>
    </row>
    <row r="121" spans="1:3">
      <c r="A121" s="18" t="s">
        <v>548</v>
      </c>
      <c r="B121" s="18" t="s">
        <v>512</v>
      </c>
      <c r="C121" s="18" t="s">
        <v>522</v>
      </c>
    </row>
    <row r="122" spans="1:3">
      <c r="A122" s="18" t="s">
        <v>548</v>
      </c>
      <c r="B122" s="18" t="s">
        <v>512</v>
      </c>
      <c r="C122" s="18" t="s">
        <v>519</v>
      </c>
    </row>
    <row r="123" spans="1:3">
      <c r="A123" s="18" t="s">
        <v>548</v>
      </c>
      <c r="B123" s="18" t="s">
        <v>512</v>
      </c>
      <c r="C123" s="68" t="s">
        <v>523</v>
      </c>
    </row>
    <row r="124" spans="1:3">
      <c r="A124" s="18" t="s">
        <v>548</v>
      </c>
      <c r="B124" s="18" t="s">
        <v>512</v>
      </c>
      <c r="C124" s="18" t="s">
        <v>524</v>
      </c>
    </row>
    <row r="125" spans="1:3" ht="29">
      <c r="A125" s="18" t="s">
        <v>548</v>
      </c>
      <c r="B125" s="18" t="s">
        <v>512</v>
      </c>
      <c r="C125" s="68" t="s">
        <v>549</v>
      </c>
    </row>
    <row r="126" spans="1:3">
      <c r="A126" s="18" t="s">
        <v>548</v>
      </c>
      <c r="B126" s="18" t="s">
        <v>512</v>
      </c>
      <c r="C126" s="18" t="s">
        <v>526</v>
      </c>
    </row>
    <row r="127" spans="1:3" ht="29">
      <c r="A127" s="18" t="s">
        <v>548</v>
      </c>
      <c r="B127" s="18" t="s">
        <v>512</v>
      </c>
      <c r="C127" s="68" t="s">
        <v>550</v>
      </c>
    </row>
    <row r="128" spans="1:3">
      <c r="A128" s="18" t="s">
        <v>548</v>
      </c>
      <c r="B128" s="18" t="s">
        <v>512</v>
      </c>
      <c r="C128" s="18" t="s">
        <v>528</v>
      </c>
    </row>
    <row r="129" spans="1:3">
      <c r="A129" s="18" t="s">
        <v>551</v>
      </c>
      <c r="B129" s="18" t="s">
        <v>502</v>
      </c>
      <c r="C129" s="18" t="s">
        <v>503</v>
      </c>
    </row>
    <row r="130" spans="1:3">
      <c r="A130" s="18" t="s">
        <v>551</v>
      </c>
      <c r="B130" s="18" t="s">
        <v>502</v>
      </c>
      <c r="C130" s="18" t="s">
        <v>504</v>
      </c>
    </row>
    <row r="131" spans="1:3">
      <c r="A131" s="18" t="s">
        <v>551</v>
      </c>
      <c r="B131" s="18" t="s">
        <v>502</v>
      </c>
      <c r="C131" s="18" t="s">
        <v>505</v>
      </c>
    </row>
    <row r="132" spans="1:3">
      <c r="A132" s="18" t="s">
        <v>551</v>
      </c>
      <c r="B132" s="18" t="s">
        <v>502</v>
      </c>
      <c r="C132" s="18" t="s">
        <v>506</v>
      </c>
    </row>
    <row r="133" spans="1:3">
      <c r="A133" s="18" t="s">
        <v>551</v>
      </c>
      <c r="B133" s="18" t="s">
        <v>502</v>
      </c>
      <c r="C133" s="18" t="s">
        <v>507</v>
      </c>
    </row>
    <row r="134" spans="1:3" ht="29">
      <c r="A134" s="18" t="s">
        <v>551</v>
      </c>
      <c r="B134" s="18" t="s">
        <v>502</v>
      </c>
      <c r="C134" s="68" t="s">
        <v>508</v>
      </c>
    </row>
    <row r="135" spans="1:3">
      <c r="A135" s="18" t="s">
        <v>552</v>
      </c>
      <c r="B135" s="18" t="s">
        <v>502</v>
      </c>
      <c r="C135" s="18" t="s">
        <v>510</v>
      </c>
    </row>
    <row r="136" spans="1:3">
      <c r="A136" s="18" t="s">
        <v>553</v>
      </c>
      <c r="B136" s="18" t="s">
        <v>512</v>
      </c>
      <c r="C136" s="18" t="s">
        <v>513</v>
      </c>
    </row>
    <row r="137" spans="1:3">
      <c r="A137" s="18" t="s">
        <v>553</v>
      </c>
      <c r="B137" s="18" t="s">
        <v>512</v>
      </c>
      <c r="C137" s="18" t="s">
        <v>514</v>
      </c>
    </row>
    <row r="138" spans="1:3">
      <c r="A138" s="18" t="s">
        <v>553</v>
      </c>
      <c r="B138" s="18" t="s">
        <v>512</v>
      </c>
      <c r="C138" s="68" t="s">
        <v>515</v>
      </c>
    </row>
    <row r="139" spans="1:3">
      <c r="A139" s="18" t="s">
        <v>553</v>
      </c>
      <c r="B139" s="18" t="s">
        <v>512</v>
      </c>
      <c r="C139" s="18" t="s">
        <v>516</v>
      </c>
    </row>
    <row r="140" spans="1:3">
      <c r="A140" s="18" t="s">
        <v>553</v>
      </c>
      <c r="B140" s="18" t="s">
        <v>512</v>
      </c>
      <c r="C140" s="68" t="s">
        <v>517</v>
      </c>
    </row>
    <row r="141" spans="1:3">
      <c r="A141" s="18" t="s">
        <v>553</v>
      </c>
      <c r="B141" s="18" t="s">
        <v>512</v>
      </c>
      <c r="C141" s="18" t="s">
        <v>518</v>
      </c>
    </row>
    <row r="142" spans="1:3" ht="29">
      <c r="A142" s="18" t="s">
        <v>553</v>
      </c>
      <c r="B142" s="18" t="s">
        <v>512</v>
      </c>
      <c r="C142" s="68" t="s">
        <v>519</v>
      </c>
    </row>
    <row r="143" spans="1:3">
      <c r="A143" s="18" t="s">
        <v>553</v>
      </c>
      <c r="B143" s="18" t="s">
        <v>512</v>
      </c>
      <c r="C143" s="18" t="s">
        <v>520</v>
      </c>
    </row>
    <row r="144" spans="1:3">
      <c r="A144" s="18" t="s">
        <v>553</v>
      </c>
      <c r="B144" s="18" t="s">
        <v>512</v>
      </c>
      <c r="C144" s="68" t="s">
        <v>521</v>
      </c>
    </row>
    <row r="145" spans="1:3">
      <c r="A145" s="18" t="s">
        <v>553</v>
      </c>
      <c r="B145" s="18" t="s">
        <v>512</v>
      </c>
      <c r="C145" s="18" t="s">
        <v>522</v>
      </c>
    </row>
    <row r="146" spans="1:3">
      <c r="A146" s="18" t="s">
        <v>553</v>
      </c>
      <c r="B146" s="18" t="s">
        <v>512</v>
      </c>
      <c r="C146" s="18" t="s">
        <v>519</v>
      </c>
    </row>
    <row r="147" spans="1:3">
      <c r="A147" s="18" t="s">
        <v>553</v>
      </c>
      <c r="B147" s="18" t="s">
        <v>512</v>
      </c>
      <c r="C147" s="18" t="s">
        <v>523</v>
      </c>
    </row>
    <row r="148" spans="1:3">
      <c r="A148" s="18" t="s">
        <v>553</v>
      </c>
      <c r="B148" s="18" t="s">
        <v>512</v>
      </c>
      <c r="C148" s="18" t="s">
        <v>524</v>
      </c>
    </row>
    <row r="149" spans="1:3" ht="29">
      <c r="A149" s="18" t="s">
        <v>553</v>
      </c>
      <c r="B149" s="18" t="s">
        <v>512</v>
      </c>
      <c r="C149" s="68" t="s">
        <v>554</v>
      </c>
    </row>
    <row r="150" spans="1:3">
      <c r="A150" s="18" t="s">
        <v>553</v>
      </c>
      <c r="B150" s="18" t="s">
        <v>512</v>
      </c>
      <c r="C150" s="18" t="s">
        <v>526</v>
      </c>
    </row>
    <row r="151" spans="1:3" ht="29">
      <c r="A151" s="18" t="s">
        <v>553</v>
      </c>
      <c r="B151" s="18" t="s">
        <v>512</v>
      </c>
      <c r="C151" s="68" t="s">
        <v>555</v>
      </c>
    </row>
    <row r="152" spans="1:3">
      <c r="A152" s="18" t="s">
        <v>553</v>
      </c>
      <c r="B152" s="18" t="s">
        <v>512</v>
      </c>
      <c r="C152" s="68" t="s">
        <v>528</v>
      </c>
    </row>
    <row r="153" spans="1:3">
      <c r="A153" s="18" t="s">
        <v>556</v>
      </c>
      <c r="B153" s="18" t="s">
        <v>462</v>
      </c>
      <c r="C153" s="68" t="s">
        <v>476</v>
      </c>
    </row>
    <row r="154" spans="1:3">
      <c r="A154" s="18" t="s">
        <v>556</v>
      </c>
      <c r="B154" s="18" t="s">
        <v>462</v>
      </c>
      <c r="C154" s="68" t="s">
        <v>557</v>
      </c>
    </row>
    <row r="155" spans="1:3">
      <c r="A155" s="18" t="s">
        <v>556</v>
      </c>
      <c r="B155" s="18" t="s">
        <v>462</v>
      </c>
      <c r="C155" s="18" t="s">
        <v>558</v>
      </c>
    </row>
    <row r="156" spans="1:3">
      <c r="A156" s="18" t="s">
        <v>556</v>
      </c>
      <c r="B156" s="18" t="s">
        <v>462</v>
      </c>
      <c r="C156" s="68" t="s">
        <v>559</v>
      </c>
    </row>
    <row r="157" spans="1:3">
      <c r="A157" s="18" t="s">
        <v>556</v>
      </c>
      <c r="B157" s="18" t="s">
        <v>462</v>
      </c>
      <c r="C157" s="18" t="s">
        <v>463</v>
      </c>
    </row>
    <row r="158" spans="1:3">
      <c r="A158" s="18" t="s">
        <v>556</v>
      </c>
      <c r="B158" s="18" t="s">
        <v>462</v>
      </c>
      <c r="C158" s="68" t="s">
        <v>560</v>
      </c>
    </row>
    <row r="159" spans="1:3">
      <c r="A159" s="18" t="s">
        <v>556</v>
      </c>
      <c r="B159" s="18" t="s">
        <v>462</v>
      </c>
      <c r="C159" s="18" t="s">
        <v>561</v>
      </c>
    </row>
    <row r="160" spans="1:3">
      <c r="A160" s="18" t="s">
        <v>556</v>
      </c>
      <c r="B160" s="18" t="s">
        <v>462</v>
      </c>
      <c r="C160" s="68" t="s">
        <v>562</v>
      </c>
    </row>
    <row r="161" spans="1:3">
      <c r="A161" s="18" t="s">
        <v>563</v>
      </c>
      <c r="B161" s="18" t="s">
        <v>502</v>
      </c>
      <c r="C161" s="18" t="s">
        <v>503</v>
      </c>
    </row>
    <row r="162" spans="1:3">
      <c r="A162" s="18" t="s">
        <v>563</v>
      </c>
      <c r="B162" s="18" t="s">
        <v>502</v>
      </c>
      <c r="C162" s="68" t="s">
        <v>504</v>
      </c>
    </row>
    <row r="163" spans="1:3">
      <c r="A163" s="18" t="s">
        <v>563</v>
      </c>
      <c r="B163" s="18" t="s">
        <v>502</v>
      </c>
      <c r="C163" s="18" t="s">
        <v>505</v>
      </c>
    </row>
    <row r="164" spans="1:3">
      <c r="A164" s="18" t="s">
        <v>563</v>
      </c>
      <c r="B164" s="18" t="s">
        <v>502</v>
      </c>
      <c r="C164" s="18" t="s">
        <v>506</v>
      </c>
    </row>
    <row r="165" spans="1:3">
      <c r="A165" s="18" t="s">
        <v>564</v>
      </c>
      <c r="B165" s="18" t="s">
        <v>502</v>
      </c>
      <c r="C165" s="18" t="s">
        <v>507</v>
      </c>
    </row>
    <row r="166" spans="1:3" ht="29">
      <c r="A166" s="18" t="s">
        <v>564</v>
      </c>
      <c r="B166" s="18" t="s">
        <v>502</v>
      </c>
      <c r="C166" s="68" t="s">
        <v>508</v>
      </c>
    </row>
    <row r="167" spans="1:3">
      <c r="A167" s="18" t="s">
        <v>565</v>
      </c>
      <c r="B167" s="18" t="s">
        <v>502</v>
      </c>
      <c r="C167" s="18" t="s">
        <v>510</v>
      </c>
    </row>
    <row r="168" spans="1:3">
      <c r="A168" s="18" t="s">
        <v>566</v>
      </c>
      <c r="B168" s="18" t="s">
        <v>512</v>
      </c>
      <c r="C168" s="18" t="s">
        <v>513</v>
      </c>
    </row>
    <row r="169" spans="1:3">
      <c r="A169" s="18" t="s">
        <v>566</v>
      </c>
      <c r="B169" s="18" t="s">
        <v>512</v>
      </c>
      <c r="C169" s="18" t="s">
        <v>514</v>
      </c>
    </row>
    <row r="170" spans="1:3">
      <c r="A170" s="18" t="s">
        <v>566</v>
      </c>
      <c r="B170" s="18" t="s">
        <v>512</v>
      </c>
      <c r="C170" s="18" t="s">
        <v>515</v>
      </c>
    </row>
    <row r="171" spans="1:3">
      <c r="A171" s="18" t="s">
        <v>566</v>
      </c>
      <c r="B171" s="18" t="s">
        <v>512</v>
      </c>
      <c r="C171" s="18" t="s">
        <v>516</v>
      </c>
    </row>
    <row r="172" spans="1:3">
      <c r="A172" s="18" t="s">
        <v>566</v>
      </c>
      <c r="B172" s="18" t="s">
        <v>512</v>
      </c>
      <c r="C172" s="18" t="s">
        <v>517</v>
      </c>
    </row>
    <row r="173" spans="1:3">
      <c r="A173" s="18" t="s">
        <v>566</v>
      </c>
      <c r="B173" s="18" t="s">
        <v>512</v>
      </c>
      <c r="C173" s="18" t="s">
        <v>518</v>
      </c>
    </row>
    <row r="174" spans="1:3">
      <c r="A174" s="18" t="s">
        <v>566</v>
      </c>
      <c r="B174" s="18" t="s">
        <v>512</v>
      </c>
      <c r="C174" s="18" t="s">
        <v>519</v>
      </c>
    </row>
    <row r="175" spans="1:3">
      <c r="A175" s="18" t="s">
        <v>567</v>
      </c>
      <c r="B175" s="18" t="s">
        <v>512</v>
      </c>
      <c r="C175" s="18" t="s">
        <v>520</v>
      </c>
    </row>
    <row r="176" spans="1:3">
      <c r="A176" s="18" t="s">
        <v>567</v>
      </c>
      <c r="B176" s="18" t="s">
        <v>512</v>
      </c>
      <c r="C176" s="68" t="s">
        <v>521</v>
      </c>
    </row>
    <row r="177" spans="1:3">
      <c r="A177" s="18" t="s">
        <v>567</v>
      </c>
      <c r="B177" s="18" t="s">
        <v>512</v>
      </c>
      <c r="C177" s="18" t="s">
        <v>522</v>
      </c>
    </row>
    <row r="178" spans="1:3" ht="29">
      <c r="A178" s="18" t="s">
        <v>567</v>
      </c>
      <c r="B178" s="18" t="s">
        <v>512</v>
      </c>
      <c r="C178" s="68" t="s">
        <v>519</v>
      </c>
    </row>
    <row r="179" spans="1:3">
      <c r="A179" s="18" t="s">
        <v>567</v>
      </c>
      <c r="B179" s="18" t="s">
        <v>512</v>
      </c>
      <c r="C179" s="18" t="s">
        <v>523</v>
      </c>
    </row>
    <row r="180" spans="1:3" ht="58">
      <c r="A180" s="18" t="s">
        <v>567</v>
      </c>
      <c r="B180" s="18" t="s">
        <v>512</v>
      </c>
      <c r="C180" s="68" t="s">
        <v>524</v>
      </c>
    </row>
    <row r="181" spans="1:3" ht="29">
      <c r="A181" s="18" t="s">
        <v>567</v>
      </c>
      <c r="B181" s="18" t="s">
        <v>512</v>
      </c>
      <c r="C181" s="68" t="s">
        <v>568</v>
      </c>
    </row>
    <row r="182" spans="1:3" ht="58">
      <c r="A182" s="18" t="s">
        <v>567</v>
      </c>
      <c r="B182" s="18" t="s">
        <v>512</v>
      </c>
      <c r="C182" s="68" t="s">
        <v>526</v>
      </c>
    </row>
    <row r="183" spans="1:3" ht="29">
      <c r="A183" s="18" t="s">
        <v>567</v>
      </c>
      <c r="B183" s="18" t="s">
        <v>512</v>
      </c>
      <c r="C183" s="68" t="s">
        <v>569</v>
      </c>
    </row>
    <row r="184" spans="1:3">
      <c r="A184" s="18" t="s">
        <v>567</v>
      </c>
      <c r="B184" s="18" t="s">
        <v>512</v>
      </c>
      <c r="C184" s="18" t="s">
        <v>528</v>
      </c>
    </row>
    <row r="185" spans="1:3">
      <c r="A185" s="18" t="s">
        <v>570</v>
      </c>
      <c r="B185" s="18" t="s">
        <v>462</v>
      </c>
      <c r="C185" s="18" t="s">
        <v>476</v>
      </c>
    </row>
    <row r="186" spans="1:3">
      <c r="A186" s="18" t="s">
        <v>570</v>
      </c>
      <c r="B186" s="18" t="s">
        <v>462</v>
      </c>
      <c r="C186" s="18" t="s">
        <v>571</v>
      </c>
    </row>
    <row r="187" spans="1:3">
      <c r="A187" s="18" t="s">
        <v>570</v>
      </c>
      <c r="B187" s="18" t="s">
        <v>462</v>
      </c>
      <c r="C187" s="68" t="s">
        <v>572</v>
      </c>
    </row>
    <row r="188" spans="1:3">
      <c r="A188" s="18" t="s">
        <v>570</v>
      </c>
      <c r="B188" s="18" t="s">
        <v>462</v>
      </c>
      <c r="C188" s="68" t="s">
        <v>573</v>
      </c>
    </row>
    <row r="189" spans="1:3">
      <c r="A189" s="18" t="s">
        <v>570</v>
      </c>
      <c r="B189" s="18" t="s">
        <v>462</v>
      </c>
      <c r="C189" s="18" t="s">
        <v>463</v>
      </c>
    </row>
    <row r="190" spans="1:3">
      <c r="A190" s="18" t="s">
        <v>570</v>
      </c>
      <c r="B190" s="18" t="s">
        <v>462</v>
      </c>
      <c r="C190" s="18" t="s">
        <v>574</v>
      </c>
    </row>
    <row r="191" spans="1:3">
      <c r="A191" s="18" t="s">
        <v>570</v>
      </c>
      <c r="B191" s="18" t="s">
        <v>462</v>
      </c>
      <c r="C191" s="18" t="s">
        <v>575</v>
      </c>
    </row>
    <row r="192" spans="1:3">
      <c r="A192" s="18" t="s">
        <v>570</v>
      </c>
      <c r="B192" s="18" t="s">
        <v>462</v>
      </c>
      <c r="C192" s="18" t="s">
        <v>576</v>
      </c>
    </row>
    <row r="193" spans="1:3">
      <c r="A193" s="18" t="s">
        <v>577</v>
      </c>
      <c r="B193" s="18" t="s">
        <v>454</v>
      </c>
      <c r="C193" s="18" t="s">
        <v>578</v>
      </c>
    </row>
    <row r="194" spans="1:3">
      <c r="A194" s="18" t="s">
        <v>582</v>
      </c>
      <c r="B194" s="18" t="s">
        <v>447</v>
      </c>
      <c r="C194" s="18" t="s">
        <v>583</v>
      </c>
    </row>
    <row r="195" spans="1:3">
      <c r="A195" s="18" t="s">
        <v>582</v>
      </c>
      <c r="B195" s="18" t="s">
        <v>448</v>
      </c>
      <c r="C195" s="18" t="s">
        <v>449</v>
      </c>
    </row>
    <row r="196" spans="1:3">
      <c r="A196" s="18" t="s">
        <v>582</v>
      </c>
      <c r="B196" s="18" t="s">
        <v>448</v>
      </c>
      <c r="C196" s="18" t="s">
        <v>450</v>
      </c>
    </row>
    <row r="197" spans="1:3">
      <c r="A197" s="18" t="s">
        <v>582</v>
      </c>
      <c r="B197" s="18" t="s">
        <v>447</v>
      </c>
      <c r="C197" s="18" t="s">
        <v>451</v>
      </c>
    </row>
    <row r="198" spans="1:3">
      <c r="A198" s="18" t="s">
        <v>582</v>
      </c>
      <c r="B198" s="18" t="s">
        <v>454</v>
      </c>
      <c r="C198" s="18" t="s">
        <v>578</v>
      </c>
    </row>
    <row r="199" spans="1:3">
      <c r="A199" s="18" t="s">
        <v>584</v>
      </c>
      <c r="B199" s="18" t="s">
        <v>447</v>
      </c>
      <c r="C199" s="18" t="s">
        <v>585</v>
      </c>
    </row>
    <row r="200" spans="1:3">
      <c r="A200" s="18" t="s">
        <v>584</v>
      </c>
      <c r="B200" s="18" t="s">
        <v>452</v>
      </c>
      <c r="C200" s="18" t="s">
        <v>473</v>
      </c>
    </row>
    <row r="201" spans="1:3">
      <c r="A201" s="18" t="s">
        <v>584</v>
      </c>
      <c r="B201" s="18" t="s">
        <v>448</v>
      </c>
      <c r="C201" s="18" t="s">
        <v>449</v>
      </c>
    </row>
    <row r="202" spans="1:3">
      <c r="A202" s="18" t="s">
        <v>584</v>
      </c>
      <c r="B202" s="18" t="s">
        <v>448</v>
      </c>
      <c r="C202" s="18" t="s">
        <v>450</v>
      </c>
    </row>
    <row r="203" spans="1:3">
      <c r="A203" s="18" t="s">
        <v>584</v>
      </c>
      <c r="B203" s="18" t="s">
        <v>448</v>
      </c>
      <c r="C203" s="18" t="s">
        <v>453</v>
      </c>
    </row>
    <row r="204" spans="1:3">
      <c r="A204" s="18" t="s">
        <v>584</v>
      </c>
      <c r="B204" s="18" t="s">
        <v>454</v>
      </c>
      <c r="C204" s="18" t="s">
        <v>455</v>
      </c>
    </row>
    <row r="205" spans="1:3">
      <c r="A205" s="18" t="s">
        <v>586</v>
      </c>
      <c r="B205" s="18" t="s">
        <v>456</v>
      </c>
      <c r="C205" s="68" t="s">
        <v>474</v>
      </c>
    </row>
    <row r="206" spans="1:3" ht="43.5">
      <c r="A206" s="18" t="s">
        <v>587</v>
      </c>
      <c r="B206" s="18" t="s">
        <v>456</v>
      </c>
      <c r="C206" s="68" t="s">
        <v>457</v>
      </c>
    </row>
    <row r="207" spans="1:3">
      <c r="A207" s="18" t="s">
        <v>588</v>
      </c>
      <c r="B207" s="18" t="s">
        <v>448</v>
      </c>
      <c r="C207" s="18" t="s">
        <v>472</v>
      </c>
    </row>
    <row r="208" spans="1:3">
      <c r="A208" s="18" t="s">
        <v>588</v>
      </c>
      <c r="B208" s="18" t="s">
        <v>452</v>
      </c>
      <c r="C208" s="18" t="s">
        <v>458</v>
      </c>
    </row>
    <row r="209" spans="1:3">
      <c r="A209" s="18" t="s">
        <v>589</v>
      </c>
      <c r="B209" s="18" t="s">
        <v>447</v>
      </c>
      <c r="C209" s="68" t="s">
        <v>459</v>
      </c>
    </row>
    <row r="210" spans="1:3">
      <c r="A210" s="18" t="s">
        <v>589</v>
      </c>
      <c r="B210" s="18" t="s">
        <v>454</v>
      </c>
      <c r="C210" s="18" t="s">
        <v>455</v>
      </c>
    </row>
    <row r="211" spans="1:3">
      <c r="A211" s="18" t="s">
        <v>590</v>
      </c>
      <c r="B211" s="18" t="s">
        <v>447</v>
      </c>
      <c r="C211" s="18" t="s">
        <v>460</v>
      </c>
    </row>
    <row r="212" spans="1:3">
      <c r="A212" s="18" t="s">
        <v>590</v>
      </c>
      <c r="B212" s="18" t="s">
        <v>447</v>
      </c>
      <c r="C212" s="18" t="s">
        <v>465</v>
      </c>
    </row>
    <row r="213" spans="1:3">
      <c r="A213" s="18" t="s">
        <v>590</v>
      </c>
      <c r="B213" s="18" t="s">
        <v>447</v>
      </c>
      <c r="C213" s="18" t="s">
        <v>591</v>
      </c>
    </row>
    <row r="214" spans="1:3">
      <c r="A214" s="18" t="s">
        <v>592</v>
      </c>
      <c r="B214" s="18" t="s">
        <v>447</v>
      </c>
      <c r="C214" s="18" t="s">
        <v>593</v>
      </c>
    </row>
    <row r="215" spans="1:3">
      <c r="A215" s="18" t="s">
        <v>594</v>
      </c>
      <c r="B215" s="18" t="s">
        <v>447</v>
      </c>
      <c r="C215" s="18" t="s">
        <v>466</v>
      </c>
    </row>
    <row r="216" spans="1:3">
      <c r="A216" s="18" t="s">
        <v>595</v>
      </c>
      <c r="B216" s="18" t="s">
        <v>447</v>
      </c>
      <c r="C216" s="18" t="s">
        <v>596</v>
      </c>
    </row>
    <row r="217" spans="1:3">
      <c r="A217" s="18" t="s">
        <v>595</v>
      </c>
      <c r="B217" s="18" t="s">
        <v>447</v>
      </c>
      <c r="C217" s="18" t="s">
        <v>597</v>
      </c>
    </row>
    <row r="218" spans="1:3">
      <c r="A218" s="18" t="s">
        <v>598</v>
      </c>
      <c r="B218" s="18" t="s">
        <v>447</v>
      </c>
      <c r="C218" s="18" t="s">
        <v>599</v>
      </c>
    </row>
    <row r="219" spans="1:3">
      <c r="A219" s="18" t="s">
        <v>598</v>
      </c>
      <c r="B219" s="18" t="s">
        <v>447</v>
      </c>
      <c r="C219" s="18" t="s">
        <v>600</v>
      </c>
    </row>
    <row r="220" spans="1:3">
      <c r="A220" s="18" t="s">
        <v>598</v>
      </c>
      <c r="B220" s="18" t="s">
        <v>502</v>
      </c>
      <c r="C220" s="18" t="s">
        <v>503</v>
      </c>
    </row>
    <row r="221" spans="1:3">
      <c r="A221" s="18" t="s">
        <v>598</v>
      </c>
      <c r="B221" s="18" t="s">
        <v>502</v>
      </c>
      <c r="C221" s="18" t="s">
        <v>504</v>
      </c>
    </row>
    <row r="222" spans="1:3">
      <c r="A222" s="18" t="s">
        <v>598</v>
      </c>
      <c r="B222" s="18" t="s">
        <v>502</v>
      </c>
      <c r="C222" s="18" t="s">
        <v>505</v>
      </c>
    </row>
    <row r="223" spans="1:3" ht="29">
      <c r="A223" s="18" t="s">
        <v>598</v>
      </c>
      <c r="B223" s="18" t="s">
        <v>502</v>
      </c>
      <c r="C223" s="68" t="s">
        <v>506</v>
      </c>
    </row>
    <row r="224" spans="1:3">
      <c r="A224" s="18" t="s">
        <v>598</v>
      </c>
      <c r="B224" s="18" t="s">
        <v>502</v>
      </c>
      <c r="C224" s="18" t="s">
        <v>507</v>
      </c>
    </row>
    <row r="225" spans="1:3" ht="29">
      <c r="A225" s="18" t="s">
        <v>598</v>
      </c>
      <c r="B225" s="18" t="s">
        <v>502</v>
      </c>
      <c r="C225" s="68" t="s">
        <v>508</v>
      </c>
    </row>
    <row r="226" spans="1:3">
      <c r="A226" s="18" t="s">
        <v>601</v>
      </c>
      <c r="B226" s="18" t="s">
        <v>502</v>
      </c>
      <c r="C226" s="18" t="s">
        <v>510</v>
      </c>
    </row>
    <row r="227" spans="1:3">
      <c r="A227" s="18" t="s">
        <v>601</v>
      </c>
      <c r="B227" s="18" t="s">
        <v>447</v>
      </c>
      <c r="C227" s="18" t="s">
        <v>602</v>
      </c>
    </row>
    <row r="228" spans="1:3">
      <c r="A228" s="18" t="s">
        <v>601</v>
      </c>
      <c r="B228" s="18" t="s">
        <v>512</v>
      </c>
      <c r="C228" s="18" t="s">
        <v>513</v>
      </c>
    </row>
    <row r="229" spans="1:3">
      <c r="A229" s="18" t="s">
        <v>601</v>
      </c>
      <c r="B229" s="18" t="s">
        <v>512</v>
      </c>
      <c r="C229" s="18" t="s">
        <v>514</v>
      </c>
    </row>
    <row r="230" spans="1:3">
      <c r="A230" s="18" t="s">
        <v>601</v>
      </c>
      <c r="B230" s="18" t="s">
        <v>512</v>
      </c>
      <c r="C230" s="18" t="s">
        <v>515</v>
      </c>
    </row>
    <row r="231" spans="1:3">
      <c r="A231" s="18" t="s">
        <v>601</v>
      </c>
      <c r="B231" s="18" t="s">
        <v>512</v>
      </c>
      <c r="C231" s="68" t="s">
        <v>516</v>
      </c>
    </row>
    <row r="232" spans="1:3">
      <c r="A232" s="18" t="s">
        <v>601</v>
      </c>
      <c r="B232" s="18" t="s">
        <v>512</v>
      </c>
      <c r="C232" s="18" t="s">
        <v>517</v>
      </c>
    </row>
    <row r="233" spans="1:3">
      <c r="A233" s="18" t="s">
        <v>601</v>
      </c>
      <c r="B233" s="18" t="s">
        <v>512</v>
      </c>
      <c r="C233" s="68" t="s">
        <v>518</v>
      </c>
    </row>
    <row r="234" spans="1:3">
      <c r="A234" s="18" t="s">
        <v>601</v>
      </c>
      <c r="B234" s="18" t="s">
        <v>512</v>
      </c>
      <c r="C234" s="18" t="s">
        <v>519</v>
      </c>
    </row>
    <row r="235" spans="1:3">
      <c r="A235" s="18" t="s">
        <v>601</v>
      </c>
      <c r="B235" s="18" t="s">
        <v>512</v>
      </c>
      <c r="C235" s="68" t="s">
        <v>520</v>
      </c>
    </row>
    <row r="236" spans="1:3">
      <c r="A236" s="18" t="s">
        <v>601</v>
      </c>
      <c r="B236" s="18" t="s">
        <v>512</v>
      </c>
      <c r="C236" s="18" t="s">
        <v>521</v>
      </c>
    </row>
    <row r="237" spans="1:3">
      <c r="A237" s="18" t="s">
        <v>601</v>
      </c>
      <c r="B237" s="18" t="s">
        <v>512</v>
      </c>
      <c r="C237" s="68" t="s">
        <v>522</v>
      </c>
    </row>
    <row r="238" spans="1:3">
      <c r="A238" s="18" t="s">
        <v>601</v>
      </c>
      <c r="B238" s="18" t="s">
        <v>512</v>
      </c>
      <c r="C238" s="18" t="s">
        <v>519</v>
      </c>
    </row>
    <row r="239" spans="1:3">
      <c r="A239" s="18" t="s">
        <v>601</v>
      </c>
      <c r="B239" s="18" t="s">
        <v>512</v>
      </c>
      <c r="C239" s="68" t="s">
        <v>523</v>
      </c>
    </row>
    <row r="240" spans="1:3">
      <c r="A240" s="18" t="s">
        <v>601</v>
      </c>
      <c r="B240" s="18" t="s">
        <v>512</v>
      </c>
      <c r="C240" s="18" t="s">
        <v>524</v>
      </c>
    </row>
    <row r="241" spans="1:3" ht="29">
      <c r="A241" s="18" t="s">
        <v>601</v>
      </c>
      <c r="B241" s="18" t="s">
        <v>512</v>
      </c>
      <c r="C241" s="68" t="s">
        <v>603</v>
      </c>
    </row>
    <row r="242" spans="1:3">
      <c r="A242" s="18" t="s">
        <v>601</v>
      </c>
      <c r="B242" s="18" t="s">
        <v>512</v>
      </c>
      <c r="C242" s="18" t="s">
        <v>526</v>
      </c>
    </row>
    <row r="243" spans="1:3" ht="29">
      <c r="A243" s="18" t="s">
        <v>601</v>
      </c>
      <c r="B243" s="18" t="s">
        <v>512</v>
      </c>
      <c r="C243" s="68" t="s">
        <v>604</v>
      </c>
    </row>
    <row r="244" spans="1:3">
      <c r="A244" s="18" t="s">
        <v>601</v>
      </c>
      <c r="B244" s="18" t="s">
        <v>512</v>
      </c>
      <c r="C244" s="18" t="s">
        <v>528</v>
      </c>
    </row>
    <row r="245" spans="1:3">
      <c r="A245" s="18" t="s">
        <v>605</v>
      </c>
      <c r="B245" s="18" t="s">
        <v>447</v>
      </c>
      <c r="C245" s="68" t="s">
        <v>606</v>
      </c>
    </row>
    <row r="246" spans="1:3">
      <c r="A246" s="18" t="s">
        <v>605</v>
      </c>
      <c r="B246" s="18" t="s">
        <v>462</v>
      </c>
      <c r="C246" s="18" t="s">
        <v>476</v>
      </c>
    </row>
    <row r="247" spans="1:3">
      <c r="A247" s="18" t="s">
        <v>605</v>
      </c>
      <c r="B247" s="18" t="s">
        <v>462</v>
      </c>
      <c r="C247" s="68" t="s">
        <v>607</v>
      </c>
    </row>
    <row r="248" spans="1:3">
      <c r="A248" s="18" t="s">
        <v>605</v>
      </c>
      <c r="B248" s="18" t="s">
        <v>462</v>
      </c>
      <c r="C248" s="18" t="s">
        <v>608</v>
      </c>
    </row>
    <row r="249" spans="1:3">
      <c r="A249" s="18" t="s">
        <v>605</v>
      </c>
      <c r="B249" s="18" t="s">
        <v>462</v>
      </c>
      <c r="C249" s="68" t="s">
        <v>609</v>
      </c>
    </row>
    <row r="250" spans="1:3">
      <c r="A250" s="18" t="s">
        <v>605</v>
      </c>
      <c r="B250" s="18" t="s">
        <v>462</v>
      </c>
      <c r="C250" s="18" t="s">
        <v>610</v>
      </c>
    </row>
    <row r="251" spans="1:3">
      <c r="A251" s="18" t="s">
        <v>605</v>
      </c>
      <c r="B251" s="18" t="s">
        <v>462</v>
      </c>
      <c r="C251" s="68" t="s">
        <v>611</v>
      </c>
    </row>
    <row r="252" spans="1:3">
      <c r="A252" s="18" t="s">
        <v>605</v>
      </c>
      <c r="B252" s="18" t="s">
        <v>462</v>
      </c>
      <c r="C252" s="18" t="s">
        <v>612</v>
      </c>
    </row>
    <row r="253" spans="1:3">
      <c r="A253" s="18" t="s">
        <v>605</v>
      </c>
      <c r="B253" s="18" t="s">
        <v>462</v>
      </c>
      <c r="C253" s="68" t="s">
        <v>613</v>
      </c>
    </row>
    <row r="254" spans="1:3">
      <c r="A254" s="18" t="s">
        <v>605</v>
      </c>
      <c r="B254" s="18" t="s">
        <v>462</v>
      </c>
      <c r="C254" s="18" t="s">
        <v>614</v>
      </c>
    </row>
    <row r="255" spans="1:3">
      <c r="A255" s="18" t="s">
        <v>605</v>
      </c>
      <c r="B255" s="18" t="s">
        <v>462</v>
      </c>
      <c r="C255" s="68" t="s">
        <v>615</v>
      </c>
    </row>
    <row r="256" spans="1:3">
      <c r="A256" s="18" t="s">
        <v>605</v>
      </c>
      <c r="B256" s="18" t="s">
        <v>462</v>
      </c>
      <c r="C256" s="18" t="s">
        <v>616</v>
      </c>
    </row>
    <row r="257" spans="1:3">
      <c r="A257" s="18" t="s">
        <v>605</v>
      </c>
      <c r="B257" s="18" t="s">
        <v>462</v>
      </c>
      <c r="C257" s="68" t="s">
        <v>617</v>
      </c>
    </row>
    <row r="258" spans="1:3">
      <c r="A258" s="18" t="s">
        <v>605</v>
      </c>
      <c r="B258" s="18" t="s">
        <v>462</v>
      </c>
      <c r="C258" s="18" t="s">
        <v>618</v>
      </c>
    </row>
    <row r="259" spans="1:3">
      <c r="A259" s="18" t="s">
        <v>605</v>
      </c>
      <c r="B259" s="18" t="s">
        <v>462</v>
      </c>
      <c r="C259" s="68" t="s">
        <v>619</v>
      </c>
    </row>
    <row r="260" spans="1:3">
      <c r="A260" s="18" t="s">
        <v>605</v>
      </c>
      <c r="B260" s="18" t="s">
        <v>462</v>
      </c>
      <c r="C260" s="18" t="s">
        <v>620</v>
      </c>
    </row>
    <row r="261" spans="1:3">
      <c r="A261" s="18" t="s">
        <v>621</v>
      </c>
      <c r="B261" s="18" t="s">
        <v>447</v>
      </c>
      <c r="C261" s="68" t="s">
        <v>464</v>
      </c>
    </row>
    <row r="262" spans="1:3">
      <c r="A262" s="18" t="s">
        <v>621</v>
      </c>
      <c r="B262" s="18" t="s">
        <v>622</v>
      </c>
      <c r="C262" s="18" t="s">
        <v>623</v>
      </c>
    </row>
    <row r="263" spans="1:3">
      <c r="A263" s="18" t="s">
        <v>621</v>
      </c>
      <c r="B263" s="18" t="s">
        <v>622</v>
      </c>
      <c r="C263" s="68" t="s">
        <v>624</v>
      </c>
    </row>
    <row r="264" spans="1:3">
      <c r="A264" s="18" t="s">
        <v>621</v>
      </c>
      <c r="B264" s="18" t="s">
        <v>622</v>
      </c>
      <c r="C264" s="18" t="s">
        <v>625</v>
      </c>
    </row>
    <row r="265" spans="1:3">
      <c r="A265" s="18" t="s">
        <v>621</v>
      </c>
      <c r="B265" s="18" t="s">
        <v>622</v>
      </c>
      <c r="C265" s="68" t="s">
        <v>626</v>
      </c>
    </row>
    <row r="266" spans="1:3">
      <c r="A266" s="18" t="s">
        <v>627</v>
      </c>
      <c r="B266" s="18" t="s">
        <v>447</v>
      </c>
      <c r="C266" s="18" t="s">
        <v>628</v>
      </c>
    </row>
    <row r="267" spans="1:3">
      <c r="A267" s="18" t="s">
        <v>627</v>
      </c>
      <c r="B267" s="18" t="s">
        <v>445</v>
      </c>
      <c r="C267" s="18" t="s">
        <v>446</v>
      </c>
    </row>
    <row r="268" spans="1:3">
      <c r="A268" s="18" t="s">
        <v>627</v>
      </c>
      <c r="B268" s="18" t="s">
        <v>445</v>
      </c>
      <c r="C268" s="18" t="s">
        <v>629</v>
      </c>
    </row>
    <row r="269" spans="1:3">
      <c r="A269" s="18" t="s">
        <v>627</v>
      </c>
      <c r="B269" s="18" t="s">
        <v>445</v>
      </c>
      <c r="C269" s="18" t="s">
        <v>630</v>
      </c>
    </row>
    <row r="270" spans="1:3">
      <c r="A270" s="18" t="s">
        <v>631</v>
      </c>
      <c r="B270" s="18" t="s">
        <v>447</v>
      </c>
      <c r="C270" s="18" t="s">
        <v>632</v>
      </c>
    </row>
    <row r="271" spans="1:3">
      <c r="A271" s="18" t="s">
        <v>631</v>
      </c>
      <c r="B271" s="18" t="s">
        <v>447</v>
      </c>
      <c r="C271" s="18" t="s">
        <v>633</v>
      </c>
    </row>
    <row r="272" spans="1:3">
      <c r="A272" s="18" t="s">
        <v>636</v>
      </c>
      <c r="B272" s="18" t="s">
        <v>447</v>
      </c>
      <c r="C272" s="18" t="s">
        <v>593</v>
      </c>
    </row>
    <row r="273" spans="1:3">
      <c r="A273" s="18" t="s">
        <v>637</v>
      </c>
      <c r="B273" s="18" t="s">
        <v>447</v>
      </c>
      <c r="C273" s="18" t="s">
        <v>466</v>
      </c>
    </row>
    <row r="274" spans="1:3">
      <c r="A274" s="18" t="s">
        <v>638</v>
      </c>
      <c r="B274" s="18" t="s">
        <v>447</v>
      </c>
      <c r="C274" s="18" t="s">
        <v>596</v>
      </c>
    </row>
    <row r="275" spans="1:3">
      <c r="A275" s="18" t="s">
        <v>638</v>
      </c>
      <c r="B275" s="18" t="s">
        <v>447</v>
      </c>
      <c r="C275" s="68" t="s">
        <v>597</v>
      </c>
    </row>
    <row r="276" spans="1:3">
      <c r="A276" s="18" t="s">
        <v>639</v>
      </c>
      <c r="B276" s="18" t="s">
        <v>447</v>
      </c>
      <c r="C276" s="18" t="s">
        <v>599</v>
      </c>
    </row>
    <row r="277" spans="1:3" ht="43.5">
      <c r="A277" s="18" t="s">
        <v>639</v>
      </c>
      <c r="B277" s="18" t="s">
        <v>447</v>
      </c>
      <c r="C277" s="68" t="s">
        <v>600</v>
      </c>
    </row>
    <row r="278" spans="1:3">
      <c r="A278" s="18" t="s">
        <v>639</v>
      </c>
      <c r="B278" s="18" t="s">
        <v>502</v>
      </c>
      <c r="C278" s="18" t="s">
        <v>503</v>
      </c>
    </row>
    <row r="279" spans="1:3">
      <c r="A279" s="18" t="s">
        <v>639</v>
      </c>
      <c r="B279" s="18" t="s">
        <v>502</v>
      </c>
      <c r="C279" s="68" t="s">
        <v>504</v>
      </c>
    </row>
    <row r="280" spans="1:3">
      <c r="A280" s="18" t="s">
        <v>639</v>
      </c>
      <c r="B280" s="18" t="s">
        <v>502</v>
      </c>
      <c r="C280" s="18" t="s">
        <v>640</v>
      </c>
    </row>
    <row r="281" spans="1:3" ht="29">
      <c r="A281" s="18" t="s">
        <v>639</v>
      </c>
      <c r="B281" s="18" t="s">
        <v>502</v>
      </c>
      <c r="C281" s="68" t="s">
        <v>641</v>
      </c>
    </row>
    <row r="282" spans="1:3">
      <c r="A282" s="18" t="s">
        <v>639</v>
      </c>
      <c r="B282" s="18" t="s">
        <v>502</v>
      </c>
      <c r="C282" s="18" t="s">
        <v>642</v>
      </c>
    </row>
    <row r="283" spans="1:3" ht="29">
      <c r="A283" s="18" t="s">
        <v>639</v>
      </c>
      <c r="B283" s="18" t="s">
        <v>502</v>
      </c>
      <c r="C283" s="68" t="s">
        <v>508</v>
      </c>
    </row>
    <row r="284" spans="1:3">
      <c r="A284" s="18" t="s">
        <v>643</v>
      </c>
      <c r="B284" s="18" t="s">
        <v>502</v>
      </c>
      <c r="C284" s="68" t="s">
        <v>510</v>
      </c>
    </row>
    <row r="285" spans="1:3">
      <c r="A285" s="18" t="s">
        <v>643</v>
      </c>
      <c r="B285" s="18" t="s">
        <v>447</v>
      </c>
      <c r="C285" s="68" t="s">
        <v>602</v>
      </c>
    </row>
    <row r="286" spans="1:3">
      <c r="A286" s="18" t="s">
        <v>643</v>
      </c>
      <c r="B286" s="18" t="s">
        <v>512</v>
      </c>
      <c r="C286" s="68" t="s">
        <v>513</v>
      </c>
    </row>
    <row r="287" spans="1:3">
      <c r="A287" s="18" t="s">
        <v>643</v>
      </c>
      <c r="B287" s="18" t="s">
        <v>512</v>
      </c>
      <c r="C287" s="68" t="s">
        <v>514</v>
      </c>
    </row>
    <row r="288" spans="1:3">
      <c r="A288" s="18" t="s">
        <v>643</v>
      </c>
      <c r="B288" s="18" t="s">
        <v>512</v>
      </c>
      <c r="C288" s="68" t="s">
        <v>515</v>
      </c>
    </row>
    <row r="289" spans="1:3">
      <c r="A289" s="18" t="s">
        <v>643</v>
      </c>
      <c r="B289" s="18" t="s">
        <v>512</v>
      </c>
      <c r="C289" s="68" t="s">
        <v>644</v>
      </c>
    </row>
    <row r="290" spans="1:3">
      <c r="A290" s="18" t="s">
        <v>643</v>
      </c>
      <c r="B290" s="18" t="s">
        <v>512</v>
      </c>
      <c r="C290" s="68" t="s">
        <v>517</v>
      </c>
    </row>
    <row r="291" spans="1:3">
      <c r="A291" s="18" t="s">
        <v>643</v>
      </c>
      <c r="B291" s="18" t="s">
        <v>512</v>
      </c>
      <c r="C291" s="68" t="s">
        <v>518</v>
      </c>
    </row>
    <row r="292" spans="1:3">
      <c r="A292" s="18" t="s">
        <v>643</v>
      </c>
      <c r="B292" s="18" t="s">
        <v>512</v>
      </c>
      <c r="C292" s="18" t="s">
        <v>519</v>
      </c>
    </row>
    <row r="293" spans="1:3">
      <c r="A293" s="18" t="s">
        <v>643</v>
      </c>
      <c r="B293" s="18" t="s">
        <v>512</v>
      </c>
      <c r="C293" s="68" t="s">
        <v>645</v>
      </c>
    </row>
    <row r="294" spans="1:3">
      <c r="A294" s="18" t="s">
        <v>643</v>
      </c>
      <c r="B294" s="18" t="s">
        <v>512</v>
      </c>
      <c r="C294" s="18" t="s">
        <v>521</v>
      </c>
    </row>
    <row r="295" spans="1:3">
      <c r="A295" s="18" t="s">
        <v>643</v>
      </c>
      <c r="B295" s="18" t="s">
        <v>512</v>
      </c>
      <c r="C295" s="68" t="s">
        <v>522</v>
      </c>
    </row>
    <row r="296" spans="1:3">
      <c r="A296" s="18" t="s">
        <v>643</v>
      </c>
      <c r="B296" s="18" t="s">
        <v>512</v>
      </c>
      <c r="C296" s="18" t="s">
        <v>519</v>
      </c>
    </row>
    <row r="297" spans="1:3">
      <c r="A297" s="18" t="s">
        <v>643</v>
      </c>
      <c r="B297" s="18" t="s">
        <v>512</v>
      </c>
      <c r="C297" s="68" t="s">
        <v>523</v>
      </c>
    </row>
    <row r="298" spans="1:3">
      <c r="A298" s="18" t="s">
        <v>643</v>
      </c>
      <c r="B298" s="18" t="s">
        <v>512</v>
      </c>
      <c r="C298" s="18" t="s">
        <v>646</v>
      </c>
    </row>
    <row r="299" spans="1:3" ht="29">
      <c r="A299" s="18" t="s">
        <v>643</v>
      </c>
      <c r="B299" s="18" t="s">
        <v>512</v>
      </c>
      <c r="C299" s="68" t="s">
        <v>647</v>
      </c>
    </row>
    <row r="300" spans="1:3">
      <c r="A300" s="18" t="s">
        <v>643</v>
      </c>
      <c r="B300" s="18" t="s">
        <v>512</v>
      </c>
      <c r="C300" s="18" t="s">
        <v>648</v>
      </c>
    </row>
    <row r="301" spans="1:3" ht="29">
      <c r="A301" s="18" t="s">
        <v>649</v>
      </c>
      <c r="B301" s="18" t="s">
        <v>512</v>
      </c>
      <c r="C301" s="68" t="s">
        <v>650</v>
      </c>
    </row>
    <row r="302" spans="1:3">
      <c r="A302" s="18" t="s">
        <v>649</v>
      </c>
      <c r="B302" s="18" t="s">
        <v>512</v>
      </c>
      <c r="C302" s="18" t="s">
        <v>528</v>
      </c>
    </row>
    <row r="303" spans="1:3">
      <c r="A303" s="18" t="s">
        <v>651</v>
      </c>
      <c r="B303" s="18" t="s">
        <v>447</v>
      </c>
      <c r="C303" s="18" t="s">
        <v>606</v>
      </c>
    </row>
    <row r="304" spans="1:3">
      <c r="A304" s="18" t="s">
        <v>651</v>
      </c>
      <c r="B304" s="18" t="s">
        <v>462</v>
      </c>
      <c r="C304" s="18" t="s">
        <v>476</v>
      </c>
    </row>
    <row r="305" spans="1:3">
      <c r="A305" s="18" t="s">
        <v>651</v>
      </c>
      <c r="B305" s="18" t="s">
        <v>462</v>
      </c>
      <c r="C305" s="18" t="s">
        <v>652</v>
      </c>
    </row>
    <row r="306" spans="1:3">
      <c r="A306" s="18" t="s">
        <v>651</v>
      </c>
      <c r="B306" s="18" t="s">
        <v>462</v>
      </c>
      <c r="C306" s="18" t="s">
        <v>653</v>
      </c>
    </row>
    <row r="307" spans="1:3">
      <c r="A307" s="18" t="s">
        <v>651</v>
      </c>
      <c r="B307" s="18" t="s">
        <v>462</v>
      </c>
      <c r="C307" s="68" t="s">
        <v>654</v>
      </c>
    </row>
    <row r="308" spans="1:3">
      <c r="A308" s="18" t="s">
        <v>651</v>
      </c>
      <c r="B308" s="18" t="s">
        <v>462</v>
      </c>
      <c r="C308" s="68" t="s">
        <v>655</v>
      </c>
    </row>
    <row r="309" spans="1:3">
      <c r="A309" s="18" t="s">
        <v>651</v>
      </c>
      <c r="B309" s="18" t="s">
        <v>462</v>
      </c>
      <c r="C309" s="18" t="s">
        <v>656</v>
      </c>
    </row>
    <row r="310" spans="1:3">
      <c r="A310" s="18" t="s">
        <v>651</v>
      </c>
      <c r="B310" s="18" t="s">
        <v>462</v>
      </c>
      <c r="C310" s="18" t="s">
        <v>612</v>
      </c>
    </row>
    <row r="311" spans="1:3">
      <c r="A311" s="18" t="s">
        <v>651</v>
      </c>
      <c r="B311" s="18" t="s">
        <v>462</v>
      </c>
      <c r="C311" s="18" t="s">
        <v>657</v>
      </c>
    </row>
    <row r="312" spans="1:3">
      <c r="A312" s="18" t="s">
        <v>651</v>
      </c>
      <c r="B312" s="18" t="s">
        <v>462</v>
      </c>
      <c r="C312" s="18" t="s">
        <v>614</v>
      </c>
    </row>
    <row r="313" spans="1:3">
      <c r="A313" s="18" t="s">
        <v>651</v>
      </c>
      <c r="B313" s="18" t="s">
        <v>462</v>
      </c>
      <c r="C313" s="18" t="s">
        <v>658</v>
      </c>
    </row>
    <row r="314" spans="1:3">
      <c r="A314" s="18" t="s">
        <v>651</v>
      </c>
      <c r="B314" s="18" t="s">
        <v>462</v>
      </c>
      <c r="C314" s="18" t="s">
        <v>659</v>
      </c>
    </row>
    <row r="315" spans="1:3">
      <c r="A315" s="18" t="s">
        <v>651</v>
      </c>
      <c r="B315" s="18" t="s">
        <v>462</v>
      </c>
      <c r="C315" s="18" t="s">
        <v>660</v>
      </c>
    </row>
    <row r="316" spans="1:3">
      <c r="A316" s="18" t="s">
        <v>651</v>
      </c>
      <c r="B316" s="18" t="s">
        <v>462</v>
      </c>
      <c r="C316" s="18" t="s">
        <v>661</v>
      </c>
    </row>
    <row r="317" spans="1:3">
      <c r="A317" s="18" t="s">
        <v>662</v>
      </c>
      <c r="B317" s="18" t="s">
        <v>462</v>
      </c>
      <c r="C317" s="18" t="s">
        <v>663</v>
      </c>
    </row>
    <row r="318" spans="1:3">
      <c r="A318" s="18" t="s">
        <v>662</v>
      </c>
      <c r="B318" s="18" t="s">
        <v>462</v>
      </c>
      <c r="C318" s="68" t="s">
        <v>664</v>
      </c>
    </row>
    <row r="319" spans="1:3">
      <c r="A319" s="18" t="s">
        <v>665</v>
      </c>
      <c r="B319" s="18" t="s">
        <v>447</v>
      </c>
      <c r="C319" s="18" t="s">
        <v>464</v>
      </c>
    </row>
    <row r="320" spans="1:3">
      <c r="A320" s="18" t="s">
        <v>665</v>
      </c>
      <c r="B320" s="18" t="s">
        <v>622</v>
      </c>
      <c r="C320" s="68" t="s">
        <v>623</v>
      </c>
    </row>
    <row r="321" spans="1:3">
      <c r="A321" s="18" t="s">
        <v>665</v>
      </c>
      <c r="B321" s="18" t="s">
        <v>622</v>
      </c>
      <c r="C321" s="18" t="s">
        <v>666</v>
      </c>
    </row>
    <row r="322" spans="1:3">
      <c r="A322" s="18" t="s">
        <v>665</v>
      </c>
      <c r="B322" s="18" t="s">
        <v>622</v>
      </c>
      <c r="C322" s="68" t="s">
        <v>667</v>
      </c>
    </row>
    <row r="323" spans="1:3">
      <c r="A323" s="18" t="s">
        <v>665</v>
      </c>
      <c r="B323" s="18" t="s">
        <v>622</v>
      </c>
      <c r="C323" s="18" t="s">
        <v>626</v>
      </c>
    </row>
    <row r="324" spans="1:3">
      <c r="A324" s="18" t="s">
        <v>668</v>
      </c>
      <c r="B324" s="18" t="s">
        <v>447</v>
      </c>
      <c r="C324" s="68" t="s">
        <v>628</v>
      </c>
    </row>
    <row r="325" spans="1:3">
      <c r="A325" s="18" t="s">
        <v>668</v>
      </c>
      <c r="B325" s="18" t="s">
        <v>445</v>
      </c>
      <c r="C325" s="18" t="s">
        <v>446</v>
      </c>
    </row>
    <row r="326" spans="1:3">
      <c r="A326" s="18" t="s">
        <v>668</v>
      </c>
      <c r="B326" s="18" t="s">
        <v>445</v>
      </c>
      <c r="C326" s="18" t="s">
        <v>669</v>
      </c>
    </row>
    <row r="327" spans="1:3">
      <c r="A327" s="18" t="s">
        <v>668</v>
      </c>
      <c r="B327" s="18" t="s">
        <v>445</v>
      </c>
      <c r="C327" s="18" t="s">
        <v>670</v>
      </c>
    </row>
    <row r="328" spans="1:3">
      <c r="A328" s="18" t="s">
        <v>671</v>
      </c>
      <c r="B328" s="18" t="s">
        <v>447</v>
      </c>
      <c r="C328" s="68" t="s">
        <v>632</v>
      </c>
    </row>
    <row r="329" spans="1:3">
      <c r="A329" s="18" t="s">
        <v>671</v>
      </c>
      <c r="B329" s="18" t="s">
        <v>447</v>
      </c>
      <c r="C329" s="18" t="s">
        <v>633</v>
      </c>
    </row>
    <row r="330" spans="1:3">
      <c r="A330" s="18" t="s">
        <v>672</v>
      </c>
      <c r="B330" s="18" t="s">
        <v>447</v>
      </c>
      <c r="C330" s="18" t="s">
        <v>599</v>
      </c>
    </row>
    <row r="331" spans="1:3">
      <c r="A331" s="18" t="s">
        <v>672</v>
      </c>
      <c r="B331" s="18" t="s">
        <v>447</v>
      </c>
      <c r="C331" s="18" t="s">
        <v>600</v>
      </c>
    </row>
    <row r="332" spans="1:3">
      <c r="A332" s="18" t="s">
        <v>672</v>
      </c>
      <c r="B332" s="18" t="s">
        <v>502</v>
      </c>
      <c r="C332" s="18" t="s">
        <v>503</v>
      </c>
    </row>
    <row r="333" spans="1:3">
      <c r="A333" s="18" t="s">
        <v>672</v>
      </c>
      <c r="B333" s="18" t="s">
        <v>502</v>
      </c>
      <c r="C333" s="68" t="s">
        <v>504</v>
      </c>
    </row>
    <row r="334" spans="1:3">
      <c r="A334" s="18" t="s">
        <v>672</v>
      </c>
      <c r="B334" s="18" t="s">
        <v>502</v>
      </c>
      <c r="C334" s="18" t="s">
        <v>640</v>
      </c>
    </row>
    <row r="335" spans="1:3">
      <c r="A335" s="18" t="s">
        <v>672</v>
      </c>
      <c r="B335" s="18" t="s">
        <v>502</v>
      </c>
      <c r="C335" s="18" t="s">
        <v>641</v>
      </c>
    </row>
    <row r="336" spans="1:3">
      <c r="A336" s="18" t="s">
        <v>673</v>
      </c>
      <c r="B336" s="18" t="s">
        <v>502</v>
      </c>
      <c r="C336" s="18" t="s">
        <v>642</v>
      </c>
    </row>
    <row r="337" spans="1:3" ht="29">
      <c r="A337" s="18" t="s">
        <v>673</v>
      </c>
      <c r="B337" s="18" t="s">
        <v>502</v>
      </c>
      <c r="C337" s="68" t="s">
        <v>508</v>
      </c>
    </row>
    <row r="338" spans="1:3">
      <c r="A338" s="18" t="s">
        <v>674</v>
      </c>
      <c r="B338" s="18" t="s">
        <v>502</v>
      </c>
      <c r="C338" s="18" t="s">
        <v>510</v>
      </c>
    </row>
    <row r="339" spans="1:3">
      <c r="A339" s="18" t="s">
        <v>674</v>
      </c>
      <c r="B339" s="18" t="s">
        <v>447</v>
      </c>
      <c r="C339" s="18" t="s">
        <v>602</v>
      </c>
    </row>
    <row r="340" spans="1:3">
      <c r="A340" s="18" t="s">
        <v>674</v>
      </c>
      <c r="B340" s="18" t="s">
        <v>512</v>
      </c>
      <c r="C340" s="18" t="s">
        <v>513</v>
      </c>
    </row>
    <row r="341" spans="1:3">
      <c r="A341" s="18" t="s">
        <v>674</v>
      </c>
      <c r="B341" s="18" t="s">
        <v>512</v>
      </c>
      <c r="C341" s="18" t="s">
        <v>514</v>
      </c>
    </row>
    <row r="342" spans="1:3">
      <c r="A342" s="18" t="s">
        <v>674</v>
      </c>
      <c r="B342" s="18" t="s">
        <v>512</v>
      </c>
      <c r="C342" s="68" t="s">
        <v>515</v>
      </c>
    </row>
    <row r="343" spans="1:3">
      <c r="A343" s="18" t="s">
        <v>674</v>
      </c>
      <c r="B343" s="18" t="s">
        <v>512</v>
      </c>
      <c r="C343" s="18" t="s">
        <v>644</v>
      </c>
    </row>
    <row r="344" spans="1:3">
      <c r="A344" s="18" t="s">
        <v>674</v>
      </c>
      <c r="B344" s="18" t="s">
        <v>512</v>
      </c>
      <c r="C344" s="18" t="s">
        <v>517</v>
      </c>
    </row>
    <row r="345" spans="1:3">
      <c r="A345" s="18" t="s">
        <v>674</v>
      </c>
      <c r="B345" s="18" t="s">
        <v>512</v>
      </c>
      <c r="C345" s="68" t="s">
        <v>518</v>
      </c>
    </row>
    <row r="346" spans="1:3" ht="29">
      <c r="A346" s="18" t="s">
        <v>674</v>
      </c>
      <c r="B346" s="18" t="s">
        <v>512</v>
      </c>
      <c r="C346" s="68" t="s">
        <v>519</v>
      </c>
    </row>
    <row r="347" spans="1:3">
      <c r="A347" s="18" t="s">
        <v>674</v>
      </c>
      <c r="B347" s="18" t="s">
        <v>512</v>
      </c>
      <c r="C347" s="18" t="s">
        <v>645</v>
      </c>
    </row>
    <row r="348" spans="1:3">
      <c r="A348" s="18" t="s">
        <v>674</v>
      </c>
      <c r="B348" s="18" t="s">
        <v>512</v>
      </c>
      <c r="C348" s="18" t="s">
        <v>521</v>
      </c>
    </row>
    <row r="349" spans="1:3">
      <c r="A349" s="18" t="s">
        <v>674</v>
      </c>
      <c r="B349" s="18" t="s">
        <v>512</v>
      </c>
      <c r="C349" s="18" t="s">
        <v>522</v>
      </c>
    </row>
    <row r="350" spans="1:3">
      <c r="A350" s="18" t="s">
        <v>674</v>
      </c>
      <c r="B350" s="18" t="s">
        <v>512</v>
      </c>
      <c r="C350" s="18" t="s">
        <v>519</v>
      </c>
    </row>
    <row r="351" spans="1:3">
      <c r="A351" s="18" t="s">
        <v>674</v>
      </c>
      <c r="B351" s="18" t="s">
        <v>512</v>
      </c>
      <c r="C351" s="18" t="s">
        <v>523</v>
      </c>
    </row>
    <row r="352" spans="1:3">
      <c r="A352" s="18" t="s">
        <v>674</v>
      </c>
      <c r="B352" s="18" t="s">
        <v>512</v>
      </c>
      <c r="C352" s="18" t="s">
        <v>646</v>
      </c>
    </row>
    <row r="353" spans="1:3" ht="29">
      <c r="A353" s="18" t="s">
        <v>674</v>
      </c>
      <c r="B353" s="18" t="s">
        <v>512</v>
      </c>
      <c r="C353" s="68" t="s">
        <v>675</v>
      </c>
    </row>
    <row r="354" spans="1:3">
      <c r="A354" s="18" t="s">
        <v>676</v>
      </c>
      <c r="B354" s="18" t="s">
        <v>512</v>
      </c>
      <c r="C354" s="18" t="s">
        <v>648</v>
      </c>
    </row>
    <row r="355" spans="1:3" ht="29">
      <c r="A355" s="18" t="s">
        <v>676</v>
      </c>
      <c r="B355" s="18" t="s">
        <v>512</v>
      </c>
      <c r="C355" s="68" t="s">
        <v>677</v>
      </c>
    </row>
    <row r="356" spans="1:3">
      <c r="A356" s="18" t="s">
        <v>676</v>
      </c>
      <c r="B356" s="18" t="s">
        <v>512</v>
      </c>
      <c r="C356" s="18" t="s">
        <v>528</v>
      </c>
    </row>
    <row r="357" spans="1:3">
      <c r="A357" s="18" t="s">
        <v>676</v>
      </c>
      <c r="B357" s="18" t="s">
        <v>447</v>
      </c>
      <c r="C357" s="18" t="s">
        <v>606</v>
      </c>
    </row>
    <row r="358" spans="1:3">
      <c r="A358" s="18" t="s">
        <v>676</v>
      </c>
      <c r="B358" s="18" t="s">
        <v>462</v>
      </c>
      <c r="C358" s="18" t="s">
        <v>476</v>
      </c>
    </row>
    <row r="359" spans="1:3">
      <c r="A359" s="18" t="s">
        <v>676</v>
      </c>
      <c r="B359" s="18" t="s">
        <v>462</v>
      </c>
      <c r="C359" s="18" t="s">
        <v>678</v>
      </c>
    </row>
    <row r="360" spans="1:3">
      <c r="A360" s="18" t="s">
        <v>676</v>
      </c>
      <c r="B360" s="18" t="s">
        <v>462</v>
      </c>
      <c r="C360" s="18" t="s">
        <v>679</v>
      </c>
    </row>
    <row r="361" spans="1:3">
      <c r="A361" s="18" t="s">
        <v>676</v>
      </c>
      <c r="B361" s="18" t="s">
        <v>462</v>
      </c>
      <c r="C361" s="18" t="s">
        <v>680</v>
      </c>
    </row>
    <row r="362" spans="1:3">
      <c r="A362" s="18" t="s">
        <v>676</v>
      </c>
      <c r="B362" s="18" t="s">
        <v>462</v>
      </c>
      <c r="C362" s="18" t="s">
        <v>681</v>
      </c>
    </row>
    <row r="363" spans="1:3">
      <c r="A363" s="18" t="s">
        <v>682</v>
      </c>
      <c r="B363" s="18" t="s">
        <v>462</v>
      </c>
      <c r="C363" s="18" t="s">
        <v>683</v>
      </c>
    </row>
    <row r="364" spans="1:3">
      <c r="A364" s="18" t="s">
        <v>682</v>
      </c>
      <c r="B364" s="18" t="s">
        <v>462</v>
      </c>
      <c r="C364" s="68" t="s">
        <v>612</v>
      </c>
    </row>
    <row r="365" spans="1:3">
      <c r="A365" s="18" t="s">
        <v>682</v>
      </c>
      <c r="B365" s="18" t="s">
        <v>462</v>
      </c>
      <c r="C365" s="18" t="s">
        <v>684</v>
      </c>
    </row>
    <row r="366" spans="1:3">
      <c r="A366" s="18" t="s">
        <v>682</v>
      </c>
      <c r="B366" s="18" t="s">
        <v>462</v>
      </c>
      <c r="C366" s="68" t="s">
        <v>614</v>
      </c>
    </row>
    <row r="367" spans="1:3">
      <c r="A367" s="18" t="s">
        <v>682</v>
      </c>
      <c r="B367" s="18" t="s">
        <v>462</v>
      </c>
      <c r="C367" s="18" t="s">
        <v>685</v>
      </c>
    </row>
    <row r="368" spans="1:3">
      <c r="A368" s="18" t="s">
        <v>682</v>
      </c>
      <c r="B368" s="18" t="s">
        <v>462</v>
      </c>
      <c r="C368" s="68" t="s">
        <v>686</v>
      </c>
    </row>
    <row r="369" spans="1:3">
      <c r="A369" s="18" t="s">
        <v>682</v>
      </c>
      <c r="B369" s="18" t="s">
        <v>462</v>
      </c>
      <c r="C369" s="18" t="s">
        <v>687</v>
      </c>
    </row>
    <row r="370" spans="1:3">
      <c r="A370" s="18" t="s">
        <v>682</v>
      </c>
      <c r="B370" s="18" t="s">
        <v>462</v>
      </c>
      <c r="C370" s="68" t="s">
        <v>688</v>
      </c>
    </row>
    <row r="371" spans="1:3">
      <c r="A371" s="18" t="s">
        <v>682</v>
      </c>
      <c r="B371" s="18" t="s">
        <v>462</v>
      </c>
      <c r="C371" s="18" t="s">
        <v>689</v>
      </c>
    </row>
    <row r="372" spans="1:3">
      <c r="A372" s="18" t="s">
        <v>682</v>
      </c>
      <c r="B372" s="18" t="s">
        <v>462</v>
      </c>
      <c r="C372" s="18" t="s">
        <v>690</v>
      </c>
    </row>
    <row r="373" spans="1:3">
      <c r="A373" s="18" t="s">
        <v>691</v>
      </c>
      <c r="B373" s="18" t="s">
        <v>447</v>
      </c>
      <c r="C373" s="18" t="s">
        <v>464</v>
      </c>
    </row>
    <row r="374" spans="1:3">
      <c r="A374" s="18" t="s">
        <v>691</v>
      </c>
      <c r="B374" s="18" t="s">
        <v>622</v>
      </c>
      <c r="C374" s="18" t="s">
        <v>623</v>
      </c>
    </row>
    <row r="375" spans="1:3">
      <c r="A375" s="18" t="s">
        <v>691</v>
      </c>
      <c r="B375" s="18" t="s">
        <v>622</v>
      </c>
      <c r="C375" s="18" t="s">
        <v>666</v>
      </c>
    </row>
    <row r="376" spans="1:3">
      <c r="A376" s="18" t="s">
        <v>691</v>
      </c>
      <c r="B376" s="18" t="s">
        <v>622</v>
      </c>
      <c r="C376" s="18" t="s">
        <v>667</v>
      </c>
    </row>
    <row r="377" spans="1:3">
      <c r="A377" s="18" t="s">
        <v>691</v>
      </c>
      <c r="B377" s="18" t="s">
        <v>622</v>
      </c>
      <c r="C377" s="18" t="s">
        <v>626</v>
      </c>
    </row>
    <row r="378" spans="1:3">
      <c r="A378" s="18" t="s">
        <v>691</v>
      </c>
      <c r="B378" s="18" t="s">
        <v>447</v>
      </c>
      <c r="C378" s="18" t="s">
        <v>628</v>
      </c>
    </row>
    <row r="379" spans="1:3">
      <c r="A379" s="18" t="s">
        <v>691</v>
      </c>
      <c r="B379" s="18" t="s">
        <v>445</v>
      </c>
      <c r="C379" s="68" t="s">
        <v>446</v>
      </c>
    </row>
    <row r="380" spans="1:3">
      <c r="A380" s="18" t="s">
        <v>691</v>
      </c>
      <c r="B380" s="18" t="s">
        <v>445</v>
      </c>
      <c r="C380" s="18" t="s">
        <v>669</v>
      </c>
    </row>
    <row r="381" spans="1:3">
      <c r="A381" s="18" t="s">
        <v>691</v>
      </c>
      <c r="B381" s="18" t="s">
        <v>445</v>
      </c>
      <c r="C381" s="18" t="s">
        <v>670</v>
      </c>
    </row>
    <row r="382" spans="1:3">
      <c r="A382" s="18" t="s">
        <v>692</v>
      </c>
      <c r="B382" s="18" t="s">
        <v>447</v>
      </c>
      <c r="C382" s="18" t="s">
        <v>632</v>
      </c>
    </row>
    <row r="383" spans="1:3">
      <c r="A383" s="18" t="s">
        <v>692</v>
      </c>
      <c r="B383" s="18" t="s">
        <v>447</v>
      </c>
      <c r="C383" s="68" t="s">
        <v>633</v>
      </c>
    </row>
    <row r="384" spans="1:3">
      <c r="A384" s="18" t="s">
        <v>693</v>
      </c>
      <c r="B384" s="18" t="s">
        <v>447</v>
      </c>
      <c r="C384" s="18" t="s">
        <v>583</v>
      </c>
    </row>
    <row r="385" spans="1:3">
      <c r="A385" s="18" t="s">
        <v>693</v>
      </c>
      <c r="B385" s="18" t="s">
        <v>448</v>
      </c>
      <c r="C385" s="68" t="s">
        <v>449</v>
      </c>
    </row>
    <row r="386" spans="1:3">
      <c r="A386" s="18" t="s">
        <v>693</v>
      </c>
      <c r="B386" s="18" t="s">
        <v>448</v>
      </c>
      <c r="C386" s="18" t="s">
        <v>450</v>
      </c>
    </row>
    <row r="387" spans="1:3">
      <c r="A387" s="18" t="s">
        <v>693</v>
      </c>
      <c r="B387" s="18" t="s">
        <v>447</v>
      </c>
      <c r="C387" s="18" t="s">
        <v>451</v>
      </c>
    </row>
    <row r="388" spans="1:3">
      <c r="A388" s="18" t="s">
        <v>693</v>
      </c>
      <c r="B388" s="18" t="s">
        <v>454</v>
      </c>
      <c r="C388" s="18" t="s">
        <v>578</v>
      </c>
    </row>
    <row r="389" spans="1:3">
      <c r="A389" s="18" t="s">
        <v>694</v>
      </c>
      <c r="B389" s="18" t="s">
        <v>447</v>
      </c>
      <c r="C389" s="18" t="s">
        <v>585</v>
      </c>
    </row>
    <row r="390" spans="1:3">
      <c r="A390" s="18" t="s">
        <v>694</v>
      </c>
      <c r="B390" s="18" t="s">
        <v>452</v>
      </c>
      <c r="C390" s="18" t="s">
        <v>473</v>
      </c>
    </row>
    <row r="391" spans="1:3">
      <c r="A391" s="18" t="s">
        <v>694</v>
      </c>
      <c r="B391" s="18" t="s">
        <v>448</v>
      </c>
      <c r="C391" s="18" t="s">
        <v>449</v>
      </c>
    </row>
    <row r="392" spans="1:3">
      <c r="A392" s="18" t="s">
        <v>694</v>
      </c>
      <c r="B392" s="18" t="s">
        <v>448</v>
      </c>
      <c r="C392" s="18" t="s">
        <v>450</v>
      </c>
    </row>
    <row r="393" spans="1:3">
      <c r="A393" s="18" t="s">
        <v>694</v>
      </c>
      <c r="B393" s="18" t="s">
        <v>448</v>
      </c>
      <c r="C393" s="18" t="s">
        <v>453</v>
      </c>
    </row>
    <row r="394" spans="1:3">
      <c r="A394" s="18" t="s">
        <v>694</v>
      </c>
      <c r="B394" s="18" t="s">
        <v>454</v>
      </c>
      <c r="C394" s="18" t="s">
        <v>455</v>
      </c>
    </row>
    <row r="395" spans="1:3">
      <c r="A395" s="18" t="s">
        <v>695</v>
      </c>
      <c r="B395" s="18" t="s">
        <v>456</v>
      </c>
      <c r="C395" s="18" t="s">
        <v>474</v>
      </c>
    </row>
    <row r="396" spans="1:3">
      <c r="A396" s="18" t="s">
        <v>695</v>
      </c>
      <c r="B396" s="18" t="s">
        <v>456</v>
      </c>
      <c r="C396" s="18" t="s">
        <v>467</v>
      </c>
    </row>
    <row r="397" spans="1:3">
      <c r="A397" s="18" t="s">
        <v>695</v>
      </c>
      <c r="B397" s="18" t="s">
        <v>456</v>
      </c>
      <c r="C397" s="18" t="s">
        <v>468</v>
      </c>
    </row>
    <row r="398" spans="1:3">
      <c r="A398" s="18" t="s">
        <v>695</v>
      </c>
      <c r="B398" s="18" t="s">
        <v>456</v>
      </c>
      <c r="C398" s="68" t="s">
        <v>469</v>
      </c>
    </row>
    <row r="399" spans="1:3">
      <c r="A399" s="18" t="s">
        <v>695</v>
      </c>
      <c r="B399" s="18" t="s">
        <v>456</v>
      </c>
      <c r="C399" s="18" t="s">
        <v>470</v>
      </c>
    </row>
    <row r="400" spans="1:3">
      <c r="A400" s="18" t="s">
        <v>695</v>
      </c>
      <c r="B400" s="18" t="s">
        <v>456</v>
      </c>
      <c r="C400" s="68" t="s">
        <v>471</v>
      </c>
    </row>
    <row r="401" spans="1:3">
      <c r="A401" s="18" t="s">
        <v>695</v>
      </c>
      <c r="B401" s="18" t="s">
        <v>448</v>
      </c>
      <c r="C401" s="68" t="s">
        <v>472</v>
      </c>
    </row>
    <row r="402" spans="1:3">
      <c r="A402" s="18" t="s">
        <v>695</v>
      </c>
      <c r="B402" s="18" t="s">
        <v>452</v>
      </c>
      <c r="C402" s="68" t="s">
        <v>458</v>
      </c>
    </row>
    <row r="403" spans="1:3">
      <c r="A403" s="18" t="s">
        <v>697</v>
      </c>
      <c r="B403" s="18" t="s">
        <v>447</v>
      </c>
      <c r="C403" s="18" t="s">
        <v>459</v>
      </c>
    </row>
    <row r="404" spans="1:3">
      <c r="A404" s="18" t="s">
        <v>697</v>
      </c>
      <c r="B404" s="18" t="s">
        <v>454</v>
      </c>
      <c r="C404" s="68" t="s">
        <v>455</v>
      </c>
    </row>
    <row r="405" spans="1:3">
      <c r="A405" s="18" t="s">
        <v>698</v>
      </c>
      <c r="B405" s="18" t="s">
        <v>447</v>
      </c>
      <c r="C405" s="18" t="s">
        <v>460</v>
      </c>
    </row>
    <row r="406" spans="1:3">
      <c r="A406" s="18" t="s">
        <v>698</v>
      </c>
      <c r="B406" s="18" t="s">
        <v>447</v>
      </c>
      <c r="C406" s="18" t="s">
        <v>465</v>
      </c>
    </row>
    <row r="407" spans="1:3">
      <c r="A407" s="18" t="s">
        <v>698</v>
      </c>
      <c r="B407" s="18" t="s">
        <v>447</v>
      </c>
      <c r="C407" s="18" t="s">
        <v>591</v>
      </c>
    </row>
    <row r="408" spans="1:3">
      <c r="A408" s="18" t="s">
        <v>699</v>
      </c>
      <c r="B408" s="18" t="s">
        <v>447</v>
      </c>
      <c r="C408" s="18" t="s">
        <v>593</v>
      </c>
    </row>
    <row r="409" spans="1:3">
      <c r="A409" s="18" t="s">
        <v>700</v>
      </c>
      <c r="B409" s="18" t="s">
        <v>447</v>
      </c>
      <c r="C409" s="18" t="s">
        <v>466</v>
      </c>
    </row>
    <row r="410" spans="1:3">
      <c r="A410" s="18" t="s">
        <v>701</v>
      </c>
      <c r="B410" s="18" t="s">
        <v>447</v>
      </c>
      <c r="C410" s="18" t="s">
        <v>596</v>
      </c>
    </row>
    <row r="411" spans="1:3">
      <c r="A411" s="18" t="s">
        <v>701</v>
      </c>
      <c r="B411" s="18" t="s">
        <v>447</v>
      </c>
      <c r="C411" s="18" t="s">
        <v>597</v>
      </c>
    </row>
    <row r="412" spans="1:3">
      <c r="A412" s="18" t="s">
        <v>702</v>
      </c>
      <c r="B412" s="18" t="s">
        <v>447</v>
      </c>
      <c r="C412" s="18" t="s">
        <v>599</v>
      </c>
    </row>
    <row r="413" spans="1:3" ht="43.5">
      <c r="A413" s="18" t="s">
        <v>702</v>
      </c>
      <c r="B413" s="18" t="s">
        <v>447</v>
      </c>
      <c r="C413" s="68" t="s">
        <v>600</v>
      </c>
    </row>
    <row r="414" spans="1:3">
      <c r="A414" s="18" t="s">
        <v>702</v>
      </c>
      <c r="B414" s="18" t="s">
        <v>502</v>
      </c>
      <c r="C414" s="18" t="s">
        <v>503</v>
      </c>
    </row>
    <row r="415" spans="1:3">
      <c r="A415" s="18" t="s">
        <v>702</v>
      </c>
      <c r="B415" s="18" t="s">
        <v>502</v>
      </c>
      <c r="C415" s="18" t="s">
        <v>504</v>
      </c>
    </row>
    <row r="416" spans="1:3">
      <c r="A416" s="18" t="s">
        <v>702</v>
      </c>
      <c r="B416" s="18" t="s">
        <v>502</v>
      </c>
      <c r="C416" s="18" t="s">
        <v>640</v>
      </c>
    </row>
    <row r="417" spans="1:3">
      <c r="A417" s="18" t="s">
        <v>702</v>
      </c>
      <c r="B417" s="18" t="s">
        <v>502</v>
      </c>
      <c r="C417" s="18" t="s">
        <v>641</v>
      </c>
    </row>
    <row r="418" spans="1:3">
      <c r="A418" s="18" t="s">
        <v>702</v>
      </c>
      <c r="B418" s="18" t="s">
        <v>502</v>
      </c>
      <c r="C418" s="18" t="s">
        <v>642</v>
      </c>
    </row>
    <row r="419" spans="1:3" ht="29">
      <c r="A419" s="18" t="s">
        <v>702</v>
      </c>
      <c r="B419" s="18" t="s">
        <v>502</v>
      </c>
      <c r="C419" s="68" t="s">
        <v>508</v>
      </c>
    </row>
    <row r="420" spans="1:3">
      <c r="A420" s="18" t="s">
        <v>703</v>
      </c>
      <c r="B420" s="18" t="s">
        <v>502</v>
      </c>
      <c r="C420" s="18" t="s">
        <v>510</v>
      </c>
    </row>
    <row r="421" spans="1:3">
      <c r="A421" s="18" t="s">
        <v>703</v>
      </c>
      <c r="B421" s="18" t="s">
        <v>447</v>
      </c>
      <c r="C421" s="18" t="s">
        <v>602</v>
      </c>
    </row>
    <row r="422" spans="1:3">
      <c r="A422" s="18" t="s">
        <v>703</v>
      </c>
      <c r="B422" s="18" t="s">
        <v>512</v>
      </c>
      <c r="C422" s="18" t="s">
        <v>513</v>
      </c>
    </row>
    <row r="423" spans="1:3">
      <c r="A423" s="18" t="s">
        <v>703</v>
      </c>
      <c r="B423" s="18" t="s">
        <v>512</v>
      </c>
      <c r="C423" s="18" t="s">
        <v>514</v>
      </c>
    </row>
    <row r="424" spans="1:3">
      <c r="A424" s="18" t="s">
        <v>703</v>
      </c>
      <c r="B424" s="18" t="s">
        <v>512</v>
      </c>
      <c r="C424" s="18" t="s">
        <v>515</v>
      </c>
    </row>
    <row r="425" spans="1:3">
      <c r="A425" s="18" t="s">
        <v>703</v>
      </c>
      <c r="B425" s="18" t="s">
        <v>512</v>
      </c>
      <c r="C425" s="18" t="s">
        <v>644</v>
      </c>
    </row>
    <row r="426" spans="1:3">
      <c r="A426" s="18" t="s">
        <v>703</v>
      </c>
      <c r="B426" s="18" t="s">
        <v>512</v>
      </c>
      <c r="C426" s="18" t="s">
        <v>517</v>
      </c>
    </row>
    <row r="427" spans="1:3">
      <c r="A427" s="18" t="s">
        <v>703</v>
      </c>
      <c r="B427" s="18" t="s">
        <v>512</v>
      </c>
      <c r="C427" s="18" t="s">
        <v>518</v>
      </c>
    </row>
    <row r="428" spans="1:3">
      <c r="A428" s="18" t="s">
        <v>703</v>
      </c>
      <c r="B428" s="18" t="s">
        <v>512</v>
      </c>
      <c r="C428" s="18" t="s">
        <v>519</v>
      </c>
    </row>
    <row r="429" spans="1:3">
      <c r="A429" s="18" t="s">
        <v>703</v>
      </c>
      <c r="B429" s="18" t="s">
        <v>512</v>
      </c>
      <c r="C429" s="18" t="s">
        <v>645</v>
      </c>
    </row>
    <row r="430" spans="1:3">
      <c r="A430" s="18" t="s">
        <v>703</v>
      </c>
      <c r="B430" s="18" t="s">
        <v>512</v>
      </c>
      <c r="C430" s="18" t="s">
        <v>521</v>
      </c>
    </row>
    <row r="431" spans="1:3">
      <c r="A431" s="18" t="s">
        <v>703</v>
      </c>
      <c r="B431" s="18" t="s">
        <v>512</v>
      </c>
      <c r="C431" s="18" t="s">
        <v>522</v>
      </c>
    </row>
    <row r="432" spans="1:3" ht="29">
      <c r="A432" s="18" t="s">
        <v>703</v>
      </c>
      <c r="B432" s="18" t="s">
        <v>512</v>
      </c>
      <c r="C432" s="68" t="s">
        <v>519</v>
      </c>
    </row>
    <row r="433" spans="1:3">
      <c r="A433" s="18" t="s">
        <v>703</v>
      </c>
      <c r="B433" s="18" t="s">
        <v>512</v>
      </c>
      <c r="C433" s="18" t="s">
        <v>523</v>
      </c>
    </row>
    <row r="434" spans="1:3" ht="58">
      <c r="A434" s="18" t="s">
        <v>703</v>
      </c>
      <c r="B434" s="18" t="s">
        <v>512</v>
      </c>
      <c r="C434" s="68" t="s">
        <v>646</v>
      </c>
    </row>
    <row r="435" spans="1:3" ht="29">
      <c r="A435" s="18" t="s">
        <v>703</v>
      </c>
      <c r="B435" s="18" t="s">
        <v>512</v>
      </c>
      <c r="C435" s="68" t="s">
        <v>704</v>
      </c>
    </row>
    <row r="436" spans="1:3" ht="58">
      <c r="A436" s="18" t="s">
        <v>703</v>
      </c>
      <c r="B436" s="18" t="s">
        <v>512</v>
      </c>
      <c r="C436" s="68" t="s">
        <v>648</v>
      </c>
    </row>
    <row r="437" spans="1:3" ht="29">
      <c r="A437" s="18" t="s">
        <v>703</v>
      </c>
      <c r="B437" s="18" t="s">
        <v>512</v>
      </c>
      <c r="C437" s="68" t="s">
        <v>705</v>
      </c>
    </row>
    <row r="438" spans="1:3">
      <c r="A438" s="18" t="s">
        <v>703</v>
      </c>
      <c r="B438" s="18" t="s">
        <v>512</v>
      </c>
      <c r="C438" s="68" t="s">
        <v>528</v>
      </c>
    </row>
    <row r="439" spans="1:3">
      <c r="A439" s="18" t="s">
        <v>706</v>
      </c>
      <c r="B439" s="18" t="s">
        <v>447</v>
      </c>
      <c r="C439" s="18" t="s">
        <v>606</v>
      </c>
    </row>
    <row r="440" spans="1:3">
      <c r="A440" s="18" t="s">
        <v>706</v>
      </c>
      <c r="B440" s="18" t="s">
        <v>462</v>
      </c>
      <c r="C440" s="18" t="s">
        <v>476</v>
      </c>
    </row>
    <row r="441" spans="1:3">
      <c r="A441" s="18" t="s">
        <v>706</v>
      </c>
      <c r="B441" s="18" t="s">
        <v>462</v>
      </c>
      <c r="C441" s="18" t="s">
        <v>707</v>
      </c>
    </row>
    <row r="442" spans="1:3">
      <c r="A442" s="18" t="s">
        <v>706</v>
      </c>
      <c r="B442" s="18" t="s">
        <v>462</v>
      </c>
      <c r="C442" s="18" t="s">
        <v>708</v>
      </c>
    </row>
    <row r="443" spans="1:3">
      <c r="A443" s="18" t="s">
        <v>706</v>
      </c>
      <c r="B443" s="18" t="s">
        <v>462</v>
      </c>
      <c r="C443" s="18" t="s">
        <v>709</v>
      </c>
    </row>
    <row r="444" spans="1:3">
      <c r="A444" s="18" t="s">
        <v>706</v>
      </c>
      <c r="B444" s="18" t="s">
        <v>462</v>
      </c>
      <c r="C444" s="18" t="s">
        <v>710</v>
      </c>
    </row>
    <row r="445" spans="1:3">
      <c r="A445" s="18" t="s">
        <v>706</v>
      </c>
      <c r="B445" s="18" t="s">
        <v>462</v>
      </c>
      <c r="C445" s="18" t="s">
        <v>711</v>
      </c>
    </row>
    <row r="446" spans="1:3">
      <c r="A446" s="18" t="s">
        <v>706</v>
      </c>
      <c r="B446" s="18" t="s">
        <v>462</v>
      </c>
      <c r="C446" s="18" t="s">
        <v>612</v>
      </c>
    </row>
    <row r="447" spans="1:3">
      <c r="A447" s="18" t="s">
        <v>706</v>
      </c>
      <c r="B447" s="18" t="s">
        <v>462</v>
      </c>
      <c r="C447" s="68" t="s">
        <v>712</v>
      </c>
    </row>
    <row r="448" spans="1:3">
      <c r="A448" s="18" t="s">
        <v>706</v>
      </c>
      <c r="B448" s="18" t="s">
        <v>462</v>
      </c>
      <c r="C448" s="18" t="s">
        <v>614</v>
      </c>
    </row>
    <row r="449" spans="1:3">
      <c r="A449" s="18" t="s">
        <v>706</v>
      </c>
      <c r="B449" s="18" t="s">
        <v>462</v>
      </c>
      <c r="C449" s="18" t="s">
        <v>713</v>
      </c>
    </row>
    <row r="450" spans="1:3">
      <c r="A450" s="18" t="s">
        <v>706</v>
      </c>
      <c r="B450" s="18" t="s">
        <v>462</v>
      </c>
      <c r="C450" s="18" t="s">
        <v>714</v>
      </c>
    </row>
    <row r="451" spans="1:3">
      <c r="A451" s="18" t="s">
        <v>706</v>
      </c>
      <c r="B451" s="18" t="s">
        <v>462</v>
      </c>
      <c r="C451" s="18" t="s">
        <v>715</v>
      </c>
    </row>
    <row r="452" spans="1:3">
      <c r="A452" s="18" t="s">
        <v>706</v>
      </c>
      <c r="B452" s="18" t="s">
        <v>462</v>
      </c>
      <c r="C452" s="18" t="s">
        <v>716</v>
      </c>
    </row>
    <row r="453" spans="1:3">
      <c r="A453" s="18" t="s">
        <v>706</v>
      </c>
      <c r="B453" s="18" t="s">
        <v>462</v>
      </c>
      <c r="C453" s="18" t="s">
        <v>717</v>
      </c>
    </row>
    <row r="454" spans="1:3">
      <c r="A454" s="18" t="s">
        <v>706</v>
      </c>
      <c r="B454" s="18" t="s">
        <v>462</v>
      </c>
      <c r="C454" s="18" t="s">
        <v>718</v>
      </c>
    </row>
    <row r="455" spans="1:3">
      <c r="A455" s="18" t="s">
        <v>719</v>
      </c>
      <c r="B455" s="18" t="s">
        <v>447</v>
      </c>
      <c r="C455" s="18" t="s">
        <v>464</v>
      </c>
    </row>
    <row r="456" spans="1:3">
      <c r="A456" s="18" t="s">
        <v>719</v>
      </c>
      <c r="B456" s="18" t="s">
        <v>622</v>
      </c>
      <c r="C456" s="18" t="s">
        <v>623</v>
      </c>
    </row>
    <row r="457" spans="1:3">
      <c r="A457" s="18" t="s">
        <v>719</v>
      </c>
      <c r="B457" s="18" t="s">
        <v>622</v>
      </c>
      <c r="C457" s="18" t="s">
        <v>666</v>
      </c>
    </row>
    <row r="458" spans="1:3">
      <c r="A458" s="18" t="s">
        <v>719</v>
      </c>
      <c r="B458" s="18" t="s">
        <v>622</v>
      </c>
      <c r="C458" s="18" t="s">
        <v>667</v>
      </c>
    </row>
    <row r="459" spans="1:3">
      <c r="A459" s="18" t="s">
        <v>719</v>
      </c>
      <c r="B459" s="18" t="s">
        <v>622</v>
      </c>
      <c r="C459" s="18" t="s">
        <v>626</v>
      </c>
    </row>
    <row r="460" spans="1:3">
      <c r="A460" s="18" t="s">
        <v>720</v>
      </c>
      <c r="B460" s="18" t="s">
        <v>447</v>
      </c>
      <c r="C460" s="18" t="s">
        <v>628</v>
      </c>
    </row>
    <row r="461" spans="1:3">
      <c r="A461" s="18" t="s">
        <v>720</v>
      </c>
      <c r="B461" s="18" t="s">
        <v>445</v>
      </c>
      <c r="C461" s="18" t="s">
        <v>446</v>
      </c>
    </row>
    <row r="462" spans="1:3">
      <c r="A462" s="18" t="s">
        <v>720</v>
      </c>
      <c r="B462" s="18" t="s">
        <v>445</v>
      </c>
      <c r="C462" s="18" t="s">
        <v>669</v>
      </c>
    </row>
    <row r="463" spans="1:3">
      <c r="A463" s="18" t="s">
        <v>720</v>
      </c>
      <c r="B463" s="18" t="s">
        <v>445</v>
      </c>
      <c r="C463" s="18" t="s">
        <v>670</v>
      </c>
    </row>
    <row r="464" spans="1:3">
      <c r="A464" s="18" t="s">
        <v>721</v>
      </c>
      <c r="B464" s="18" t="s">
        <v>447</v>
      </c>
      <c r="C464" s="18" t="s">
        <v>632</v>
      </c>
    </row>
    <row r="465" spans="1:3">
      <c r="A465" s="18" t="s">
        <v>721</v>
      </c>
      <c r="B465" s="18" t="s">
        <v>447</v>
      </c>
      <c r="C465" s="18" t="s">
        <v>633</v>
      </c>
    </row>
    <row r="466" spans="1:3">
      <c r="A466" s="18" t="s">
        <v>722</v>
      </c>
      <c r="B466" s="18" t="s">
        <v>461</v>
      </c>
      <c r="C466" s="68" t="s">
        <v>723</v>
      </c>
    </row>
    <row r="467" spans="1:3">
      <c r="A467" s="18" t="s">
        <v>724</v>
      </c>
      <c r="B467" s="18" t="s">
        <v>447</v>
      </c>
      <c r="C467" s="18" t="s">
        <v>599</v>
      </c>
    </row>
    <row r="468" spans="1:3" ht="29">
      <c r="A468" s="18" t="s">
        <v>724</v>
      </c>
      <c r="B468" s="18" t="s">
        <v>725</v>
      </c>
      <c r="C468" s="68" t="s">
        <v>726</v>
      </c>
    </row>
    <row r="469" spans="1:3">
      <c r="A469" s="18" t="s">
        <v>724</v>
      </c>
      <c r="B469" s="18" t="s">
        <v>447</v>
      </c>
      <c r="C469" s="18" t="s">
        <v>727</v>
      </c>
    </row>
    <row r="470" spans="1:3">
      <c r="A470" s="18" t="s">
        <v>724</v>
      </c>
      <c r="B470" s="18" t="s">
        <v>502</v>
      </c>
      <c r="C470" s="68" t="s">
        <v>503</v>
      </c>
    </row>
    <row r="471" spans="1:3">
      <c r="A471" s="18" t="s">
        <v>724</v>
      </c>
      <c r="B471" s="18" t="s">
        <v>502</v>
      </c>
      <c r="C471" s="18" t="s">
        <v>504</v>
      </c>
    </row>
    <row r="472" spans="1:3">
      <c r="A472" s="18" t="s">
        <v>724</v>
      </c>
      <c r="B472" s="18" t="s">
        <v>502</v>
      </c>
      <c r="C472" s="68" t="s">
        <v>640</v>
      </c>
    </row>
    <row r="473" spans="1:3">
      <c r="A473" s="18" t="s">
        <v>724</v>
      </c>
      <c r="B473" s="18" t="s">
        <v>502</v>
      </c>
      <c r="C473" s="18" t="s">
        <v>641</v>
      </c>
    </row>
    <row r="474" spans="1:3">
      <c r="A474" s="18" t="s">
        <v>724</v>
      </c>
      <c r="B474" s="18" t="s">
        <v>502</v>
      </c>
      <c r="C474" s="18" t="s">
        <v>642</v>
      </c>
    </row>
    <row r="475" spans="1:3" ht="29">
      <c r="A475" s="18" t="s">
        <v>724</v>
      </c>
      <c r="B475" s="18" t="s">
        <v>502</v>
      </c>
      <c r="C475" s="68" t="s">
        <v>508</v>
      </c>
    </row>
    <row r="476" spans="1:3">
      <c r="A476" s="18" t="s">
        <v>728</v>
      </c>
      <c r="B476" s="18" t="s">
        <v>502</v>
      </c>
      <c r="C476" s="18" t="s">
        <v>510</v>
      </c>
    </row>
    <row r="477" spans="1:3">
      <c r="A477" s="18" t="s">
        <v>728</v>
      </c>
      <c r="B477" s="18" t="s">
        <v>447</v>
      </c>
      <c r="C477" s="18" t="s">
        <v>602</v>
      </c>
    </row>
    <row r="478" spans="1:3">
      <c r="A478" s="18" t="s">
        <v>728</v>
      </c>
      <c r="B478" s="18" t="s">
        <v>512</v>
      </c>
      <c r="C478" s="18" t="s">
        <v>513</v>
      </c>
    </row>
    <row r="479" spans="1:3">
      <c r="A479" s="18" t="s">
        <v>728</v>
      </c>
      <c r="B479" s="18" t="s">
        <v>512</v>
      </c>
      <c r="C479" s="18" t="s">
        <v>514</v>
      </c>
    </row>
    <row r="480" spans="1:3">
      <c r="A480" s="18" t="s">
        <v>728</v>
      </c>
      <c r="B480" s="18" t="s">
        <v>512</v>
      </c>
      <c r="C480" s="18" t="s">
        <v>515</v>
      </c>
    </row>
    <row r="481" spans="1:3">
      <c r="A481" s="18" t="s">
        <v>728</v>
      </c>
      <c r="B481" s="18" t="s">
        <v>512</v>
      </c>
      <c r="C481" s="68" t="s">
        <v>644</v>
      </c>
    </row>
    <row r="482" spans="1:3">
      <c r="A482" s="18" t="s">
        <v>728</v>
      </c>
      <c r="B482" s="18" t="s">
        <v>512</v>
      </c>
      <c r="C482" s="18" t="s">
        <v>517</v>
      </c>
    </row>
    <row r="483" spans="1:3">
      <c r="A483" s="18" t="s">
        <v>728</v>
      </c>
      <c r="B483" s="18" t="s">
        <v>512</v>
      </c>
      <c r="C483" s="18" t="s">
        <v>518</v>
      </c>
    </row>
    <row r="484" spans="1:3">
      <c r="A484" s="18" t="s">
        <v>728</v>
      </c>
      <c r="B484" s="18" t="s">
        <v>512</v>
      </c>
      <c r="C484" s="18" t="s">
        <v>519</v>
      </c>
    </row>
    <row r="485" spans="1:3">
      <c r="A485" s="18" t="s">
        <v>728</v>
      </c>
      <c r="B485" s="18" t="s">
        <v>512</v>
      </c>
      <c r="C485" s="18" t="s">
        <v>645</v>
      </c>
    </row>
    <row r="486" spans="1:3">
      <c r="A486" s="18" t="s">
        <v>728</v>
      </c>
      <c r="B486" s="18" t="s">
        <v>512</v>
      </c>
      <c r="C486" s="18" t="s">
        <v>521</v>
      </c>
    </row>
    <row r="487" spans="1:3">
      <c r="A487" s="18" t="s">
        <v>728</v>
      </c>
      <c r="B487" s="18" t="s">
        <v>512</v>
      </c>
      <c r="C487" s="18" t="s">
        <v>522</v>
      </c>
    </row>
    <row r="488" spans="1:3">
      <c r="A488" s="18" t="s">
        <v>728</v>
      </c>
      <c r="B488" s="18" t="s">
        <v>512</v>
      </c>
      <c r="C488" s="18" t="s">
        <v>519</v>
      </c>
    </row>
    <row r="489" spans="1:3">
      <c r="A489" s="18" t="s">
        <v>728</v>
      </c>
      <c r="B489" s="18" t="s">
        <v>512</v>
      </c>
      <c r="C489" s="18" t="s">
        <v>523</v>
      </c>
    </row>
    <row r="490" spans="1:3">
      <c r="A490" s="18" t="s">
        <v>728</v>
      </c>
      <c r="B490" s="18" t="s">
        <v>512</v>
      </c>
      <c r="C490" s="18" t="s">
        <v>646</v>
      </c>
    </row>
    <row r="491" spans="1:3" ht="29">
      <c r="A491" s="18" t="s">
        <v>728</v>
      </c>
      <c r="B491" s="18" t="s">
        <v>512</v>
      </c>
      <c r="C491" s="68" t="s">
        <v>729</v>
      </c>
    </row>
    <row r="492" spans="1:3">
      <c r="A492" s="18" t="s">
        <v>728</v>
      </c>
      <c r="B492" s="18" t="s">
        <v>512</v>
      </c>
      <c r="C492" s="18" t="s">
        <v>648</v>
      </c>
    </row>
    <row r="493" spans="1:3" ht="29">
      <c r="A493" s="18" t="s">
        <v>728</v>
      </c>
      <c r="B493" s="18" t="s">
        <v>512</v>
      </c>
      <c r="C493" s="68" t="s">
        <v>730</v>
      </c>
    </row>
    <row r="494" spans="1:3">
      <c r="A494" s="18" t="s">
        <v>728</v>
      </c>
      <c r="B494" s="18" t="s">
        <v>512</v>
      </c>
      <c r="C494" s="18" t="s">
        <v>528</v>
      </c>
    </row>
    <row r="495" spans="1:3">
      <c r="A495" s="18" t="s">
        <v>731</v>
      </c>
      <c r="B495" s="18" t="s">
        <v>447</v>
      </c>
      <c r="C495" s="18" t="s">
        <v>606</v>
      </c>
    </row>
    <row r="496" spans="1:3">
      <c r="A496" s="18" t="s">
        <v>731</v>
      </c>
      <c r="B496" s="18" t="s">
        <v>462</v>
      </c>
      <c r="C496" s="18" t="s">
        <v>476</v>
      </c>
    </row>
    <row r="497" spans="1:3">
      <c r="A497" s="18" t="s">
        <v>732</v>
      </c>
      <c r="B497" s="18" t="s">
        <v>447</v>
      </c>
      <c r="C497" s="18" t="s">
        <v>599</v>
      </c>
    </row>
    <row r="498" spans="1:3" ht="29">
      <c r="A498" s="18" t="s">
        <v>732</v>
      </c>
      <c r="B498" s="18" t="s">
        <v>725</v>
      </c>
      <c r="C498" s="68" t="s">
        <v>733</v>
      </c>
    </row>
    <row r="499" spans="1:3">
      <c r="A499" s="18" t="s">
        <v>732</v>
      </c>
      <c r="B499" s="18" t="s">
        <v>447</v>
      </c>
      <c r="C499" s="18" t="s">
        <v>727</v>
      </c>
    </row>
    <row r="500" spans="1:3">
      <c r="A500" s="18" t="s">
        <v>732</v>
      </c>
      <c r="B500" s="18" t="s">
        <v>502</v>
      </c>
      <c r="C500" s="68" t="s">
        <v>503</v>
      </c>
    </row>
    <row r="501" spans="1:3">
      <c r="A501" s="18" t="s">
        <v>732</v>
      </c>
      <c r="B501" s="18" t="s">
        <v>502</v>
      </c>
      <c r="C501" s="18" t="s">
        <v>504</v>
      </c>
    </row>
    <row r="502" spans="1:3">
      <c r="A502" s="18" t="s">
        <v>732</v>
      </c>
      <c r="B502" s="18" t="s">
        <v>502</v>
      </c>
      <c r="C502" s="68" t="s">
        <v>640</v>
      </c>
    </row>
    <row r="503" spans="1:3">
      <c r="A503" s="18" t="s">
        <v>732</v>
      </c>
      <c r="B503" s="18" t="s">
        <v>502</v>
      </c>
      <c r="C503" s="18" t="s">
        <v>641</v>
      </c>
    </row>
    <row r="504" spans="1:3" ht="43.5">
      <c r="A504" s="18" t="s">
        <v>732</v>
      </c>
      <c r="B504" s="18" t="s">
        <v>502</v>
      </c>
      <c r="C504" s="68" t="s">
        <v>642</v>
      </c>
    </row>
    <row r="505" spans="1:3" ht="29">
      <c r="A505" s="18" t="s">
        <v>732</v>
      </c>
      <c r="B505" s="18" t="s">
        <v>502</v>
      </c>
      <c r="C505" s="68" t="s">
        <v>508</v>
      </c>
    </row>
    <row r="506" spans="1:3">
      <c r="A506" s="18" t="s">
        <v>734</v>
      </c>
      <c r="B506" s="18" t="s">
        <v>502</v>
      </c>
      <c r="C506" s="68" t="s">
        <v>510</v>
      </c>
    </row>
    <row r="507" spans="1:3">
      <c r="A507" s="18" t="s">
        <v>734</v>
      </c>
      <c r="B507" s="18" t="s">
        <v>447</v>
      </c>
      <c r="C507" s="18" t="s">
        <v>602</v>
      </c>
    </row>
    <row r="508" spans="1:3">
      <c r="A508" s="18" t="s">
        <v>734</v>
      </c>
      <c r="B508" s="18" t="s">
        <v>512</v>
      </c>
      <c r="C508" s="18" t="s">
        <v>513</v>
      </c>
    </row>
    <row r="509" spans="1:3">
      <c r="A509" s="18" t="s">
        <v>734</v>
      </c>
      <c r="B509" s="18" t="s">
        <v>512</v>
      </c>
      <c r="C509" s="18" t="s">
        <v>514</v>
      </c>
    </row>
    <row r="510" spans="1:3">
      <c r="A510" s="18" t="s">
        <v>734</v>
      </c>
      <c r="B510" s="18" t="s">
        <v>512</v>
      </c>
      <c r="C510" s="18" t="s">
        <v>515</v>
      </c>
    </row>
    <row r="511" spans="1:3">
      <c r="A511" s="18" t="s">
        <v>734</v>
      </c>
      <c r="B511" s="18" t="s">
        <v>512</v>
      </c>
      <c r="C511" s="18" t="s">
        <v>644</v>
      </c>
    </row>
    <row r="512" spans="1:3">
      <c r="A512" s="18" t="s">
        <v>734</v>
      </c>
      <c r="B512" s="18" t="s">
        <v>512</v>
      </c>
      <c r="C512" s="18" t="s">
        <v>517</v>
      </c>
    </row>
    <row r="513" spans="1:3">
      <c r="A513" s="18" t="s">
        <v>734</v>
      </c>
      <c r="B513" s="18" t="s">
        <v>512</v>
      </c>
      <c r="C513" s="18" t="s">
        <v>518</v>
      </c>
    </row>
    <row r="514" spans="1:3">
      <c r="A514" s="18" t="s">
        <v>734</v>
      </c>
      <c r="B514" s="18" t="s">
        <v>512</v>
      </c>
      <c r="C514" s="18" t="s">
        <v>519</v>
      </c>
    </row>
    <row r="515" spans="1:3">
      <c r="A515" s="18" t="s">
        <v>734</v>
      </c>
      <c r="B515" s="18" t="s">
        <v>512</v>
      </c>
      <c r="C515" s="68" t="s">
        <v>645</v>
      </c>
    </row>
    <row r="516" spans="1:3">
      <c r="A516" s="18" t="s">
        <v>734</v>
      </c>
      <c r="B516" s="18" t="s">
        <v>512</v>
      </c>
      <c r="C516" s="18" t="s">
        <v>521</v>
      </c>
    </row>
    <row r="517" spans="1:3">
      <c r="A517" s="18" t="s">
        <v>734</v>
      </c>
      <c r="B517" s="18" t="s">
        <v>512</v>
      </c>
      <c r="C517" s="18" t="s">
        <v>522</v>
      </c>
    </row>
    <row r="518" spans="1:3">
      <c r="A518" s="18" t="s">
        <v>734</v>
      </c>
      <c r="B518" s="18" t="s">
        <v>512</v>
      </c>
      <c r="C518" s="18" t="s">
        <v>519</v>
      </c>
    </row>
    <row r="519" spans="1:3">
      <c r="A519" s="18" t="s">
        <v>734</v>
      </c>
      <c r="B519" s="18" t="s">
        <v>512</v>
      </c>
      <c r="C519" s="18" t="s">
        <v>523</v>
      </c>
    </row>
    <row r="520" spans="1:3">
      <c r="A520" s="18" t="s">
        <v>734</v>
      </c>
      <c r="B520" s="18" t="s">
        <v>512</v>
      </c>
      <c r="C520" s="18" t="s">
        <v>646</v>
      </c>
    </row>
    <row r="521" spans="1:3" ht="29">
      <c r="A521" s="18" t="s">
        <v>734</v>
      </c>
      <c r="B521" s="18" t="s">
        <v>512</v>
      </c>
      <c r="C521" s="68" t="s">
        <v>735</v>
      </c>
    </row>
    <row r="522" spans="1:3">
      <c r="A522" s="18" t="s">
        <v>734</v>
      </c>
      <c r="B522" s="18" t="s">
        <v>512</v>
      </c>
      <c r="C522" s="18" t="s">
        <v>648</v>
      </c>
    </row>
    <row r="523" spans="1:3" ht="29">
      <c r="A523" s="18" t="s">
        <v>734</v>
      </c>
      <c r="B523" s="18" t="s">
        <v>512</v>
      </c>
      <c r="C523" s="68" t="s">
        <v>736</v>
      </c>
    </row>
    <row r="524" spans="1:3">
      <c r="A524" s="18" t="s">
        <v>734</v>
      </c>
      <c r="B524" s="18" t="s">
        <v>512</v>
      </c>
      <c r="C524" s="18" t="s">
        <v>528</v>
      </c>
    </row>
    <row r="525" spans="1:3">
      <c r="A525" s="18" t="s">
        <v>737</v>
      </c>
      <c r="B525" s="18" t="s">
        <v>447</v>
      </c>
      <c r="C525" s="68" t="s">
        <v>606</v>
      </c>
    </row>
    <row r="526" spans="1:3">
      <c r="A526" s="18" t="s">
        <v>737</v>
      </c>
      <c r="B526" s="18" t="s">
        <v>462</v>
      </c>
      <c r="C526" s="18" t="s">
        <v>476</v>
      </c>
    </row>
    <row r="527" spans="1:3">
      <c r="A527" s="18" t="s">
        <v>738</v>
      </c>
      <c r="B527" s="18" t="s">
        <v>447</v>
      </c>
      <c r="C527" s="68" t="s">
        <v>599</v>
      </c>
    </row>
    <row r="528" spans="1:3" ht="29">
      <c r="A528" s="18" t="s">
        <v>738</v>
      </c>
      <c r="B528" s="18" t="s">
        <v>725</v>
      </c>
      <c r="C528" s="68" t="s">
        <v>739</v>
      </c>
    </row>
    <row r="529" spans="1:3">
      <c r="A529" s="18" t="s">
        <v>738</v>
      </c>
      <c r="B529" s="18" t="s">
        <v>447</v>
      </c>
      <c r="C529" s="68" t="s">
        <v>727</v>
      </c>
    </row>
    <row r="530" spans="1:3">
      <c r="A530" s="18" t="s">
        <v>738</v>
      </c>
      <c r="B530" s="18" t="s">
        <v>502</v>
      </c>
      <c r="C530" s="18" t="s">
        <v>503</v>
      </c>
    </row>
    <row r="531" spans="1:3">
      <c r="A531" s="18" t="s">
        <v>738</v>
      </c>
      <c r="B531" s="18" t="s">
        <v>502</v>
      </c>
      <c r="C531" s="68" t="s">
        <v>504</v>
      </c>
    </row>
    <row r="532" spans="1:3">
      <c r="A532" s="18" t="s">
        <v>738</v>
      </c>
      <c r="B532" s="18" t="s">
        <v>502</v>
      </c>
      <c r="C532" s="18" t="s">
        <v>640</v>
      </c>
    </row>
    <row r="533" spans="1:3">
      <c r="A533" s="18" t="s">
        <v>738</v>
      </c>
      <c r="B533" s="18" t="s">
        <v>502</v>
      </c>
      <c r="C533" s="18" t="s">
        <v>641</v>
      </c>
    </row>
    <row r="534" spans="1:3">
      <c r="A534" s="18" t="s">
        <v>738</v>
      </c>
      <c r="B534" s="18" t="s">
        <v>502</v>
      </c>
      <c r="C534" s="18" t="s">
        <v>642</v>
      </c>
    </row>
    <row r="535" spans="1:3" ht="29">
      <c r="A535" s="18" t="s">
        <v>740</v>
      </c>
      <c r="B535" s="18" t="s">
        <v>502</v>
      </c>
      <c r="C535" s="68" t="s">
        <v>508</v>
      </c>
    </row>
    <row r="536" spans="1:3">
      <c r="A536" s="18" t="s">
        <v>741</v>
      </c>
      <c r="B536" s="18" t="s">
        <v>502</v>
      </c>
      <c r="C536" s="18" t="s">
        <v>510</v>
      </c>
    </row>
    <row r="537" spans="1:3">
      <c r="A537" s="18" t="s">
        <v>741</v>
      </c>
      <c r="B537" s="18" t="s">
        <v>447</v>
      </c>
      <c r="C537" s="18" t="s">
        <v>602</v>
      </c>
    </row>
    <row r="538" spans="1:3">
      <c r="A538" s="18" t="s">
        <v>741</v>
      </c>
      <c r="B538" s="18" t="s">
        <v>512</v>
      </c>
      <c r="C538" s="18" t="s">
        <v>513</v>
      </c>
    </row>
    <row r="539" spans="1:3">
      <c r="A539" s="18" t="s">
        <v>741</v>
      </c>
      <c r="B539" s="18" t="s">
        <v>512</v>
      </c>
      <c r="C539" s="18" t="s">
        <v>514</v>
      </c>
    </row>
    <row r="540" spans="1:3">
      <c r="A540" s="18" t="s">
        <v>741</v>
      </c>
      <c r="B540" s="18" t="s">
        <v>512</v>
      </c>
      <c r="C540" s="18" t="s">
        <v>515</v>
      </c>
    </row>
    <row r="541" spans="1:3">
      <c r="A541" s="18" t="s">
        <v>741</v>
      </c>
      <c r="B541" s="18" t="s">
        <v>512</v>
      </c>
      <c r="C541" s="68" t="s">
        <v>644</v>
      </c>
    </row>
    <row r="542" spans="1:3">
      <c r="A542" s="18" t="s">
        <v>741</v>
      </c>
      <c r="B542" s="18" t="s">
        <v>512</v>
      </c>
      <c r="C542" s="18" t="s">
        <v>517</v>
      </c>
    </row>
    <row r="543" spans="1:3">
      <c r="A543" s="18" t="s">
        <v>741</v>
      </c>
      <c r="B543" s="18" t="s">
        <v>512</v>
      </c>
      <c r="C543" s="18" t="s">
        <v>518</v>
      </c>
    </row>
    <row r="544" spans="1:3">
      <c r="A544" s="18" t="s">
        <v>741</v>
      </c>
      <c r="B544" s="18" t="s">
        <v>512</v>
      </c>
      <c r="C544" s="18" t="s">
        <v>519</v>
      </c>
    </row>
    <row r="545" spans="1:3">
      <c r="A545" s="18" t="s">
        <v>741</v>
      </c>
      <c r="B545" s="18" t="s">
        <v>512</v>
      </c>
      <c r="C545" s="18" t="s">
        <v>645</v>
      </c>
    </row>
    <row r="546" spans="1:3">
      <c r="A546" s="18" t="s">
        <v>741</v>
      </c>
      <c r="B546" s="18" t="s">
        <v>512</v>
      </c>
      <c r="C546" s="18" t="s">
        <v>521</v>
      </c>
    </row>
    <row r="547" spans="1:3">
      <c r="A547" s="18" t="s">
        <v>741</v>
      </c>
      <c r="B547" s="18" t="s">
        <v>512</v>
      </c>
      <c r="C547" s="18" t="s">
        <v>522</v>
      </c>
    </row>
    <row r="548" spans="1:3">
      <c r="A548" s="18" t="s">
        <v>741</v>
      </c>
      <c r="B548" s="18" t="s">
        <v>512</v>
      </c>
      <c r="C548" s="18" t="s">
        <v>519</v>
      </c>
    </row>
    <row r="549" spans="1:3">
      <c r="A549" s="18" t="s">
        <v>741</v>
      </c>
      <c r="B549" s="18" t="s">
        <v>512</v>
      </c>
      <c r="C549" s="68" t="s">
        <v>523</v>
      </c>
    </row>
    <row r="550" spans="1:3">
      <c r="A550" s="18" t="s">
        <v>741</v>
      </c>
      <c r="B550" s="18" t="s">
        <v>512</v>
      </c>
      <c r="C550" s="18" t="s">
        <v>646</v>
      </c>
    </row>
    <row r="551" spans="1:3" ht="29">
      <c r="A551" s="18" t="s">
        <v>741</v>
      </c>
      <c r="B551" s="18" t="s">
        <v>512</v>
      </c>
      <c r="C551" s="68" t="s">
        <v>742</v>
      </c>
    </row>
    <row r="552" spans="1:3">
      <c r="A552" s="18" t="s">
        <v>741</v>
      </c>
      <c r="B552" s="18" t="s">
        <v>512</v>
      </c>
      <c r="C552" s="18" t="s">
        <v>648</v>
      </c>
    </row>
    <row r="553" spans="1:3" ht="29">
      <c r="A553" s="18" t="s">
        <v>741</v>
      </c>
      <c r="B553" s="18" t="s">
        <v>512</v>
      </c>
      <c r="C553" s="68" t="s">
        <v>743</v>
      </c>
    </row>
    <row r="554" spans="1:3">
      <c r="A554" s="18" t="s">
        <v>741</v>
      </c>
      <c r="B554" s="18" t="s">
        <v>512</v>
      </c>
      <c r="C554" s="18" t="s">
        <v>528</v>
      </c>
    </row>
    <row r="555" spans="1:3">
      <c r="A555" s="18" t="s">
        <v>744</v>
      </c>
      <c r="B555" s="18" t="s">
        <v>447</v>
      </c>
      <c r="C555" s="18" t="s">
        <v>606</v>
      </c>
    </row>
    <row r="556" spans="1:3">
      <c r="A556" s="18" t="s">
        <v>744</v>
      </c>
      <c r="B556" s="18" t="s">
        <v>462</v>
      </c>
      <c r="C556" s="18" t="s">
        <v>476</v>
      </c>
    </row>
    <row r="557" spans="1:3">
      <c r="A557" s="18" t="s">
        <v>744</v>
      </c>
      <c r="B557" s="18" t="s">
        <v>462</v>
      </c>
      <c r="C557" s="68" t="s">
        <v>745</v>
      </c>
    </row>
    <row r="558" spans="1:3">
      <c r="A558" s="18" t="s">
        <v>744</v>
      </c>
      <c r="B558" s="18" t="s">
        <v>462</v>
      </c>
      <c r="C558" s="18" t="s">
        <v>746</v>
      </c>
    </row>
    <row r="559" spans="1:3">
      <c r="A559" s="18" t="s">
        <v>744</v>
      </c>
      <c r="B559" s="18" t="s">
        <v>462</v>
      </c>
      <c r="C559" s="18" t="s">
        <v>747</v>
      </c>
    </row>
    <row r="560" spans="1:3">
      <c r="A560" s="18" t="s">
        <v>744</v>
      </c>
      <c r="B560" s="18" t="s">
        <v>462</v>
      </c>
      <c r="C560" s="18" t="s">
        <v>748</v>
      </c>
    </row>
    <row r="561" spans="1:3">
      <c r="A561" s="18" t="s">
        <v>744</v>
      </c>
      <c r="B561" s="18" t="s">
        <v>462</v>
      </c>
      <c r="C561" s="18" t="s">
        <v>749</v>
      </c>
    </row>
    <row r="562" spans="1:3">
      <c r="A562" s="18" t="s">
        <v>744</v>
      </c>
      <c r="B562" s="18" t="s">
        <v>462</v>
      </c>
      <c r="C562" s="18" t="s">
        <v>750</v>
      </c>
    </row>
    <row r="563" spans="1:3">
      <c r="A563" s="18" t="s">
        <v>744</v>
      </c>
      <c r="B563" s="18" t="s">
        <v>462</v>
      </c>
      <c r="C563" s="18" t="s">
        <v>751</v>
      </c>
    </row>
    <row r="564" spans="1:3">
      <c r="A564" s="18" t="s">
        <v>744</v>
      </c>
      <c r="B564" s="18" t="s">
        <v>462</v>
      </c>
      <c r="C564" s="18" t="s">
        <v>752</v>
      </c>
    </row>
    <row r="565" spans="1:3">
      <c r="A565" s="18" t="s">
        <v>744</v>
      </c>
      <c r="B565" s="18" t="s">
        <v>462</v>
      </c>
      <c r="C565" s="18" t="s">
        <v>753</v>
      </c>
    </row>
    <row r="566" spans="1:3">
      <c r="A566" s="18" t="s">
        <v>744</v>
      </c>
      <c r="B566" s="18" t="s">
        <v>462</v>
      </c>
      <c r="C566" s="18" t="s">
        <v>754</v>
      </c>
    </row>
    <row r="567" spans="1:3">
      <c r="A567" s="18" t="s">
        <v>744</v>
      </c>
      <c r="B567" s="18" t="s">
        <v>462</v>
      </c>
      <c r="C567" s="18" t="s">
        <v>755</v>
      </c>
    </row>
    <row r="568" spans="1:3">
      <c r="A568" s="18" t="s">
        <v>744</v>
      </c>
      <c r="B568" s="18" t="s">
        <v>462</v>
      </c>
      <c r="C568" s="18" t="s">
        <v>756</v>
      </c>
    </row>
    <row r="569" spans="1:3">
      <c r="A569" s="18" t="s">
        <v>744</v>
      </c>
      <c r="B569" s="18" t="s">
        <v>462</v>
      </c>
      <c r="C569" s="18" t="s">
        <v>757</v>
      </c>
    </row>
    <row r="570" spans="1:3">
      <c r="A570" s="18" t="s">
        <v>758</v>
      </c>
      <c r="B570" s="18" t="s">
        <v>447</v>
      </c>
      <c r="C570" s="18" t="s">
        <v>464</v>
      </c>
    </row>
    <row r="571" spans="1:3">
      <c r="A571" s="18" t="s">
        <v>758</v>
      </c>
      <c r="B571" s="18" t="s">
        <v>622</v>
      </c>
      <c r="C571" s="18" t="s">
        <v>623</v>
      </c>
    </row>
    <row r="572" spans="1:3">
      <c r="A572" s="18" t="s">
        <v>758</v>
      </c>
      <c r="B572" s="18" t="s">
        <v>622</v>
      </c>
      <c r="C572" s="18" t="s">
        <v>666</v>
      </c>
    </row>
    <row r="573" spans="1:3">
      <c r="A573" s="18" t="s">
        <v>758</v>
      </c>
      <c r="B573" s="18" t="s">
        <v>622</v>
      </c>
      <c r="C573" s="18" t="s">
        <v>667</v>
      </c>
    </row>
    <row r="574" spans="1:3">
      <c r="A574" s="18" t="s">
        <v>758</v>
      </c>
      <c r="B574" s="18" t="s">
        <v>622</v>
      </c>
      <c r="C574" s="18" t="s">
        <v>626</v>
      </c>
    </row>
    <row r="575" spans="1:3">
      <c r="A575" s="18" t="s">
        <v>759</v>
      </c>
      <c r="B575" s="18" t="s">
        <v>447</v>
      </c>
      <c r="C575" s="18" t="s">
        <v>628</v>
      </c>
    </row>
    <row r="576" spans="1:3">
      <c r="A576" s="18" t="s">
        <v>759</v>
      </c>
      <c r="B576" s="18" t="s">
        <v>445</v>
      </c>
      <c r="C576" s="18" t="s">
        <v>446</v>
      </c>
    </row>
    <row r="577" spans="1:3">
      <c r="A577" s="18" t="s">
        <v>759</v>
      </c>
      <c r="B577" s="18" t="s">
        <v>445</v>
      </c>
      <c r="C577" s="18" t="s">
        <v>669</v>
      </c>
    </row>
    <row r="578" spans="1:3">
      <c r="A578" s="18" t="s">
        <v>759</v>
      </c>
      <c r="B578" s="18" t="s">
        <v>445</v>
      </c>
      <c r="C578" s="18" t="s">
        <v>670</v>
      </c>
    </row>
    <row r="579" spans="1:3">
      <c r="A579" s="18" t="s">
        <v>759</v>
      </c>
      <c r="B579" s="18" t="s">
        <v>447</v>
      </c>
      <c r="C579" s="18" t="s">
        <v>632</v>
      </c>
    </row>
    <row r="580" spans="1:3">
      <c r="A580" s="18" t="s">
        <v>759</v>
      </c>
      <c r="B580" s="18" t="s">
        <v>447</v>
      </c>
      <c r="C580" s="18" t="s">
        <v>633</v>
      </c>
    </row>
    <row r="609" spans="3:3">
      <c r="C609" s="68"/>
    </row>
    <row r="618" spans="3:3">
      <c r="C618" s="68"/>
    </row>
    <row r="619" spans="3:3">
      <c r="C619" s="68"/>
    </row>
    <row r="634" spans="3:3">
      <c r="C634" s="68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8E3C-37C9-4914-B87E-7828B47A5F8A}">
  <sheetPr codeName="Sheet12"/>
  <dimension ref="A1:K15"/>
  <sheetViews>
    <sheetView workbookViewId="0">
      <selection activeCell="W37" sqref="W37"/>
    </sheetView>
  </sheetViews>
  <sheetFormatPr defaultRowHeight="14.5"/>
  <sheetData>
    <row r="1" spans="1:11">
      <c r="A1" t="s">
        <v>307</v>
      </c>
    </row>
    <row r="3" spans="1:11">
      <c r="D3" t="str">
        <f>"http://"&amp;$A$1&amp;"/soak/info"</f>
        <v>http://192.168.1.97/soak/info</v>
      </c>
      <c r="K3" t="s">
        <v>308</v>
      </c>
    </row>
    <row r="4" spans="1:11">
      <c r="A4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4" t="str">
        <f>"http://"&amp;$A$1&amp;"/soak/tail?n=5"</f>
        <v>http://192.168.1.97/soak/tail?n=5</v>
      </c>
      <c r="K4" t="s">
        <v>309</v>
      </c>
    </row>
    <row r="5" spans="1:11">
      <c r="D5" t="str">
        <f>"http://"&amp;$A$1&amp;"/soak/start?ms=2000"</f>
        <v>http://192.168.1.97/soak/start?ms=2000</v>
      </c>
      <c r="K5" t="s">
        <v>310</v>
      </c>
    </row>
    <row r="6" spans="1:11">
      <c r="A6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6" t="str">
        <f>"http://"&amp;$A$1&amp;"/soak/tail?n=15"</f>
        <v>http://192.168.1.97/soak/tail?n=15</v>
      </c>
    </row>
    <row r="7" spans="1:11">
      <c r="D7" t="str">
        <f>"http://"&amp;$A$1&amp;"/soak/info"</f>
        <v>http://192.168.1.97/soak/info</v>
      </c>
      <c r="K7" s="51" t="s">
        <v>311</v>
      </c>
    </row>
    <row r="8" spans="1:11">
      <c r="D8" t="str">
        <f>"http://"&amp;$A$1&amp;"/soak/stop"</f>
        <v>http://192.168.1.97/soak/stop</v>
      </c>
      <c r="K8" s="51" t="s">
        <v>312</v>
      </c>
    </row>
    <row r="9" spans="1:11">
      <c r="D9" t="str">
        <f>"http://"&amp;$A$1&amp;"/soak/summary"</f>
        <v>http://192.168.1.97/soak/summary</v>
      </c>
      <c r="K9" s="51" t="s">
        <v>313</v>
      </c>
    </row>
    <row r="10" spans="1:11">
      <c r="D10" t="str">
        <f>"http://"&amp;$A$1&amp;"/soak/dump?off=0&amp;len=4096"</f>
        <v>http://192.168.1.97/soak/dump?off=0&amp;len=4096</v>
      </c>
      <c r="K10" s="51" t="s">
        <v>314</v>
      </c>
    </row>
    <row r="11" spans="1:11">
      <c r="K11" s="51" t="s">
        <v>315</v>
      </c>
    </row>
    <row r="12" spans="1:11">
      <c r="K12" s="51" t="s">
        <v>316</v>
      </c>
    </row>
    <row r="13" spans="1:11">
      <c r="K13" s="51" t="s">
        <v>317</v>
      </c>
    </row>
    <row r="14" spans="1:11">
      <c r="K14" s="51" t="s">
        <v>318</v>
      </c>
    </row>
    <row r="15" spans="1:11">
      <c r="K15" s="51" t="s">
        <v>319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I98"/>
  <sheetViews>
    <sheetView showGridLines="0" topLeftCell="A13" workbookViewId="0">
      <selection activeCell="L20" sqref="L20"/>
    </sheetView>
  </sheetViews>
  <sheetFormatPr defaultRowHeight="14.5"/>
  <cols>
    <col min="1" max="1" width="5.36328125" style="9" bestFit="1" customWidth="1"/>
    <col min="2" max="2" width="8" bestFit="1" customWidth="1"/>
    <col min="3" max="3" width="8.26953125" bestFit="1" customWidth="1"/>
    <col min="4" max="4" width="8.7265625" bestFit="1" customWidth="1"/>
    <col min="5" max="5" width="9" bestFit="1" customWidth="1"/>
    <col min="6" max="6" width="15.6328125" bestFit="1" customWidth="1"/>
    <col min="7" max="7" width="10.6328125" bestFit="1" customWidth="1"/>
    <col min="8" max="8" width="10.90625" bestFit="1" customWidth="1"/>
    <col min="9" max="9" width="18.36328125" bestFit="1" customWidth="1"/>
  </cols>
  <sheetData>
    <row r="1" spans="1:9">
      <c r="A1" s="9" t="s">
        <v>278</v>
      </c>
      <c r="B1" t="s">
        <v>320</v>
      </c>
      <c r="C1" t="s">
        <v>321</v>
      </c>
      <c r="D1" t="s">
        <v>322</v>
      </c>
      <c r="E1" t="s">
        <v>323</v>
      </c>
      <c r="F1" t="s">
        <v>80</v>
      </c>
      <c r="G1" t="s">
        <v>439</v>
      </c>
      <c r="H1" t="s">
        <v>440</v>
      </c>
      <c r="I1" t="s">
        <v>441</v>
      </c>
    </row>
    <row r="2" spans="1:9">
      <c r="A2" s="9">
        <v>0.66666666666666663</v>
      </c>
      <c r="B2">
        <v>139.9</v>
      </c>
      <c r="C2">
        <v>-12.2</v>
      </c>
      <c r="D2">
        <v>308.89999999999998</v>
      </c>
      <c r="E2">
        <v>11.1</v>
      </c>
      <c r="F2" t="s">
        <v>83</v>
      </c>
      <c r="G2">
        <v>225.6</v>
      </c>
      <c r="H2">
        <v>-39.4</v>
      </c>
      <c r="I2" t="s">
        <v>83</v>
      </c>
    </row>
    <row r="3" spans="1:9">
      <c r="A3" s="9">
        <v>0.67708333333333337</v>
      </c>
      <c r="B3">
        <v>137.30000000000001</v>
      </c>
      <c r="C3">
        <v>-10.199999999999999</v>
      </c>
      <c r="D3">
        <v>306.39999999999998</v>
      </c>
      <c r="E3">
        <v>8.6999999999999993</v>
      </c>
      <c r="F3" t="s">
        <v>83</v>
      </c>
      <c r="G3">
        <v>221.7</v>
      </c>
      <c r="H3">
        <v>-41.4</v>
      </c>
      <c r="I3" t="s">
        <v>83</v>
      </c>
    </row>
    <row r="4" spans="1:9">
      <c r="A4" s="9">
        <v>0.6875</v>
      </c>
      <c r="B4">
        <v>134.80000000000001</v>
      </c>
      <c r="C4">
        <v>-8</v>
      </c>
      <c r="D4">
        <v>304</v>
      </c>
      <c r="E4">
        <v>6.2</v>
      </c>
      <c r="F4" t="s">
        <v>83</v>
      </c>
      <c r="G4">
        <v>217.6</v>
      </c>
      <c r="H4">
        <v>-43.4</v>
      </c>
      <c r="I4" t="s">
        <v>83</v>
      </c>
    </row>
    <row r="5" spans="1:9">
      <c r="A5" s="9">
        <v>0.69791666666666663</v>
      </c>
      <c r="B5">
        <v>132.30000000000001</v>
      </c>
      <c r="C5">
        <v>-5.8</v>
      </c>
      <c r="D5">
        <v>301.60000000000002</v>
      </c>
      <c r="E5">
        <v>3.6</v>
      </c>
      <c r="F5" t="s">
        <v>83</v>
      </c>
      <c r="G5">
        <v>213.2</v>
      </c>
      <c r="H5">
        <v>-45.1</v>
      </c>
      <c r="I5" t="s">
        <v>83</v>
      </c>
    </row>
    <row r="6" spans="1:9">
      <c r="A6" s="9">
        <v>0.70833333333333337</v>
      </c>
      <c r="B6">
        <v>129.9</v>
      </c>
      <c r="C6">
        <v>-3.5</v>
      </c>
      <c r="D6">
        <v>299.39999999999998</v>
      </c>
      <c r="E6">
        <v>1</v>
      </c>
      <c r="F6" t="s">
        <v>83</v>
      </c>
      <c r="G6">
        <v>208.6</v>
      </c>
      <c r="H6">
        <v>-46.7</v>
      </c>
      <c r="I6" t="s">
        <v>83</v>
      </c>
    </row>
    <row r="7" spans="1:9">
      <c r="A7" s="9">
        <v>0.71875</v>
      </c>
      <c r="B7">
        <v>127.7</v>
      </c>
      <c r="C7">
        <v>-1.2</v>
      </c>
      <c r="D7">
        <v>297.2</v>
      </c>
      <c r="E7">
        <v>-1.7</v>
      </c>
      <c r="F7" t="s">
        <v>83</v>
      </c>
      <c r="G7">
        <v>203.7</v>
      </c>
      <c r="H7">
        <v>-48</v>
      </c>
      <c r="I7" t="s">
        <v>83</v>
      </c>
    </row>
    <row r="8" spans="1:9">
      <c r="A8" s="9">
        <v>0.72916666666666663</v>
      </c>
      <c r="B8">
        <v>125.5</v>
      </c>
      <c r="C8">
        <v>1.3</v>
      </c>
      <c r="D8">
        <v>295.10000000000002</v>
      </c>
      <c r="E8">
        <v>-4.4000000000000004</v>
      </c>
      <c r="F8" t="s">
        <v>84</v>
      </c>
      <c r="G8">
        <v>198.5</v>
      </c>
      <c r="H8">
        <v>-49.1</v>
      </c>
      <c r="I8" t="s">
        <v>83</v>
      </c>
    </row>
    <row r="9" spans="1:9">
      <c r="A9" s="9">
        <v>0.73958333333333337</v>
      </c>
      <c r="B9">
        <v>123.4</v>
      </c>
      <c r="C9">
        <v>3.8</v>
      </c>
      <c r="D9">
        <v>293</v>
      </c>
      <c r="E9">
        <v>-7.2</v>
      </c>
      <c r="F9" t="s">
        <v>84</v>
      </c>
      <c r="G9">
        <v>193.2</v>
      </c>
      <c r="H9">
        <v>-50</v>
      </c>
      <c r="I9" t="s">
        <v>83</v>
      </c>
    </row>
    <row r="10" spans="1:9">
      <c r="A10" s="9">
        <v>0.75</v>
      </c>
      <c r="B10">
        <v>121.3</v>
      </c>
      <c r="C10">
        <v>6.4</v>
      </c>
      <c r="D10">
        <v>291</v>
      </c>
      <c r="E10">
        <v>-10</v>
      </c>
      <c r="F10" t="s">
        <v>84</v>
      </c>
      <c r="G10">
        <v>187.6</v>
      </c>
      <c r="H10">
        <v>-50.6</v>
      </c>
      <c r="I10" t="s">
        <v>83</v>
      </c>
    </row>
    <row r="11" spans="1:9">
      <c r="A11" s="9">
        <v>0.76041666666666663</v>
      </c>
      <c r="B11">
        <v>119.3</v>
      </c>
      <c r="C11">
        <v>9</v>
      </c>
      <c r="D11">
        <v>289</v>
      </c>
      <c r="E11">
        <v>-12.9</v>
      </c>
      <c r="F11" t="s">
        <v>84</v>
      </c>
      <c r="G11">
        <v>182</v>
      </c>
      <c r="H11">
        <v>-50.9</v>
      </c>
      <c r="I11" t="s">
        <v>83</v>
      </c>
    </row>
    <row r="12" spans="1:9">
      <c r="A12" s="9">
        <v>0.77083333333333337</v>
      </c>
      <c r="B12">
        <v>117.4</v>
      </c>
      <c r="C12">
        <v>11.7</v>
      </c>
      <c r="D12">
        <v>287.10000000000002</v>
      </c>
      <c r="E12">
        <v>-15.8</v>
      </c>
      <c r="F12" t="s">
        <v>84</v>
      </c>
      <c r="G12">
        <v>176.3</v>
      </c>
      <c r="H12">
        <v>-50.9</v>
      </c>
      <c r="I12" t="s">
        <v>83</v>
      </c>
    </row>
    <row r="13" spans="1:9">
      <c r="A13" s="9">
        <v>0.78125</v>
      </c>
      <c r="B13">
        <v>115.5</v>
      </c>
      <c r="C13">
        <v>14.5</v>
      </c>
      <c r="D13">
        <v>285.2</v>
      </c>
      <c r="E13">
        <v>-18.7</v>
      </c>
      <c r="F13" t="s">
        <v>84</v>
      </c>
      <c r="G13">
        <v>170.6</v>
      </c>
      <c r="H13">
        <v>-50.6</v>
      </c>
      <c r="I13" t="s">
        <v>83</v>
      </c>
    </row>
    <row r="14" spans="1:9">
      <c r="A14" s="9">
        <v>0.79166666666666663</v>
      </c>
      <c r="B14">
        <v>113.7</v>
      </c>
      <c r="C14">
        <v>17.2</v>
      </c>
      <c r="D14">
        <v>283.3</v>
      </c>
      <c r="E14">
        <v>-21.7</v>
      </c>
      <c r="F14" t="s">
        <v>84</v>
      </c>
      <c r="G14">
        <v>165.1</v>
      </c>
      <c r="H14">
        <v>-50.1</v>
      </c>
      <c r="I14" t="s">
        <v>83</v>
      </c>
    </row>
    <row r="15" spans="1:9">
      <c r="A15" s="9">
        <v>0.80208333333333337</v>
      </c>
      <c r="B15">
        <v>111.9</v>
      </c>
      <c r="C15">
        <v>20.100000000000001</v>
      </c>
      <c r="D15">
        <v>281.39999999999998</v>
      </c>
      <c r="E15">
        <v>-24.6</v>
      </c>
      <c r="F15" t="s">
        <v>84</v>
      </c>
      <c r="G15">
        <v>159.69999999999999</v>
      </c>
      <c r="H15">
        <v>-49.3</v>
      </c>
      <c r="I15" t="s">
        <v>83</v>
      </c>
    </row>
    <row r="16" spans="1:9">
      <c r="A16" s="9">
        <v>0.8125</v>
      </c>
      <c r="B16">
        <v>110.2</v>
      </c>
      <c r="C16">
        <v>22.9</v>
      </c>
      <c r="D16">
        <v>279.5</v>
      </c>
      <c r="E16">
        <v>-27.6</v>
      </c>
      <c r="F16" t="s">
        <v>84</v>
      </c>
      <c r="G16">
        <v>154.5</v>
      </c>
      <c r="H16">
        <v>-48.2</v>
      </c>
      <c r="I16" t="s">
        <v>83</v>
      </c>
    </row>
    <row r="17" spans="1:9">
      <c r="A17" s="9">
        <v>0.82291666666666663</v>
      </c>
      <c r="B17">
        <v>108.4</v>
      </c>
      <c r="C17">
        <v>25.8</v>
      </c>
      <c r="D17">
        <v>277.5</v>
      </c>
      <c r="E17">
        <v>-30.6</v>
      </c>
      <c r="F17" t="s">
        <v>84</v>
      </c>
      <c r="G17">
        <v>149.6</v>
      </c>
      <c r="H17">
        <v>-46.9</v>
      </c>
      <c r="I17" t="s">
        <v>83</v>
      </c>
    </row>
    <row r="18" spans="1:9">
      <c r="A18" s="9">
        <v>0.83333333333333337</v>
      </c>
      <c r="B18">
        <v>106.7</v>
      </c>
      <c r="C18">
        <v>28.7</v>
      </c>
      <c r="D18">
        <v>275.60000000000002</v>
      </c>
      <c r="E18">
        <v>-33.700000000000003</v>
      </c>
      <c r="F18" t="s">
        <v>84</v>
      </c>
      <c r="G18">
        <v>144.9</v>
      </c>
      <c r="H18">
        <v>-45.3</v>
      </c>
      <c r="I18" t="s">
        <v>83</v>
      </c>
    </row>
    <row r="19" spans="1:9">
      <c r="A19" s="9">
        <v>0.84375</v>
      </c>
      <c r="B19">
        <v>105</v>
      </c>
      <c r="C19">
        <v>31.6</v>
      </c>
      <c r="D19">
        <v>273.5</v>
      </c>
      <c r="E19">
        <v>-36.700000000000003</v>
      </c>
      <c r="F19" t="s">
        <v>84</v>
      </c>
      <c r="G19">
        <v>140.5</v>
      </c>
      <c r="H19">
        <v>-43.6</v>
      </c>
      <c r="I19" t="s">
        <v>83</v>
      </c>
    </row>
    <row r="20" spans="1:9">
      <c r="A20" s="9">
        <v>0.85416666666666663</v>
      </c>
      <c r="B20">
        <v>103.3</v>
      </c>
      <c r="C20">
        <v>34.6</v>
      </c>
      <c r="D20">
        <v>271.5</v>
      </c>
      <c r="E20">
        <v>-39.799999999999997</v>
      </c>
      <c r="F20" t="s">
        <v>84</v>
      </c>
      <c r="G20">
        <v>136.30000000000001</v>
      </c>
      <c r="H20">
        <v>-41.7</v>
      </c>
      <c r="I20" t="s">
        <v>83</v>
      </c>
    </row>
    <row r="21" spans="1:9">
      <c r="A21" s="9">
        <v>0.86458333333333337</v>
      </c>
      <c r="B21">
        <v>101.6</v>
      </c>
      <c r="C21">
        <v>37.6</v>
      </c>
      <c r="D21">
        <v>269.3</v>
      </c>
      <c r="E21">
        <v>-42.8</v>
      </c>
      <c r="F21" t="s">
        <v>84</v>
      </c>
      <c r="G21">
        <v>132.4</v>
      </c>
      <c r="H21">
        <v>-39.700000000000003</v>
      </c>
      <c r="I21" t="s">
        <v>83</v>
      </c>
    </row>
    <row r="22" spans="1:9">
      <c r="A22" s="9">
        <v>0.875</v>
      </c>
      <c r="B22">
        <v>99.9</v>
      </c>
      <c r="C22">
        <v>40.6</v>
      </c>
      <c r="D22">
        <v>267</v>
      </c>
      <c r="E22">
        <v>-45.8</v>
      </c>
      <c r="F22" t="s">
        <v>84</v>
      </c>
      <c r="G22">
        <v>128.69999999999999</v>
      </c>
      <c r="H22">
        <v>-37.5</v>
      </c>
      <c r="I22" t="s">
        <v>83</v>
      </c>
    </row>
    <row r="23" spans="1:9">
      <c r="A23" s="9">
        <v>0.88541666666666663</v>
      </c>
      <c r="B23">
        <v>98.1</v>
      </c>
      <c r="C23">
        <v>43.6</v>
      </c>
      <c r="D23">
        <v>264.60000000000002</v>
      </c>
      <c r="E23">
        <v>-48.9</v>
      </c>
      <c r="F23" t="s">
        <v>84</v>
      </c>
      <c r="G23">
        <v>125.3</v>
      </c>
      <c r="H23">
        <v>-35.200000000000003</v>
      </c>
      <c r="I23" t="s">
        <v>83</v>
      </c>
    </row>
    <row r="24" spans="1:9">
      <c r="A24" s="9">
        <v>0.89583333333333337</v>
      </c>
      <c r="B24">
        <v>96.3</v>
      </c>
      <c r="C24">
        <v>46.6</v>
      </c>
      <c r="D24">
        <v>262</v>
      </c>
      <c r="E24">
        <v>-51.9</v>
      </c>
      <c r="F24" t="s">
        <v>84</v>
      </c>
      <c r="G24">
        <v>122</v>
      </c>
      <c r="H24">
        <v>-32.799999999999997</v>
      </c>
      <c r="I24" t="s">
        <v>83</v>
      </c>
    </row>
    <row r="25" spans="1:9">
      <c r="A25" s="9">
        <v>0.90625</v>
      </c>
      <c r="B25">
        <v>94.4</v>
      </c>
      <c r="C25">
        <v>49.7</v>
      </c>
      <c r="D25">
        <v>259.10000000000002</v>
      </c>
      <c r="E25">
        <v>-54.9</v>
      </c>
      <c r="F25" t="s">
        <v>84</v>
      </c>
      <c r="G25">
        <v>119</v>
      </c>
      <c r="H25">
        <v>-30.3</v>
      </c>
      <c r="I25" t="s">
        <v>83</v>
      </c>
    </row>
    <row r="26" spans="1:9">
      <c r="A26" s="9">
        <v>0.91666666666666663</v>
      </c>
      <c r="B26">
        <v>92.5</v>
      </c>
      <c r="C26">
        <v>52.7</v>
      </c>
      <c r="D26">
        <v>255.9</v>
      </c>
      <c r="E26">
        <v>-57.9</v>
      </c>
      <c r="F26" t="s">
        <v>84</v>
      </c>
      <c r="G26">
        <v>116.1</v>
      </c>
      <c r="H26">
        <v>-27.8</v>
      </c>
      <c r="I26" t="s">
        <v>83</v>
      </c>
    </row>
    <row r="27" spans="1:9">
      <c r="A27" s="9">
        <v>0.92708333333333337</v>
      </c>
      <c r="B27">
        <v>90.4</v>
      </c>
      <c r="C27">
        <v>55.8</v>
      </c>
      <c r="D27">
        <v>252.3</v>
      </c>
      <c r="E27">
        <v>-60.8</v>
      </c>
      <c r="F27" t="s">
        <v>84</v>
      </c>
      <c r="G27">
        <v>113.3</v>
      </c>
      <c r="H27">
        <v>-25.2</v>
      </c>
      <c r="I27" t="s">
        <v>83</v>
      </c>
    </row>
    <row r="28" spans="1:9">
      <c r="A28" s="9">
        <v>0.9375</v>
      </c>
      <c r="B28">
        <v>88.1</v>
      </c>
      <c r="C28">
        <v>58.9</v>
      </c>
      <c r="D28">
        <v>248.2</v>
      </c>
      <c r="E28">
        <v>-63.7</v>
      </c>
      <c r="F28" t="s">
        <v>84</v>
      </c>
      <c r="G28">
        <v>110.7</v>
      </c>
      <c r="H28">
        <v>-22.5</v>
      </c>
      <c r="I28" t="s">
        <v>83</v>
      </c>
    </row>
    <row r="29" spans="1:9">
      <c r="A29" s="9">
        <v>0.94791666666666663</v>
      </c>
      <c r="B29">
        <v>85.6</v>
      </c>
      <c r="C29">
        <v>61.9</v>
      </c>
      <c r="D29">
        <v>243.3</v>
      </c>
      <c r="E29">
        <v>-66.5</v>
      </c>
      <c r="F29" t="s">
        <v>84</v>
      </c>
      <c r="G29">
        <v>108.1</v>
      </c>
      <c r="H29">
        <v>-19.7</v>
      </c>
      <c r="I29" t="s">
        <v>83</v>
      </c>
    </row>
    <row r="30" spans="1:9">
      <c r="A30" s="9">
        <v>0.95833333333333337</v>
      </c>
      <c r="B30">
        <v>82.8</v>
      </c>
      <c r="C30">
        <v>64.900000000000006</v>
      </c>
      <c r="D30">
        <v>237.5</v>
      </c>
      <c r="E30">
        <v>-69.099999999999994</v>
      </c>
      <c r="F30" t="s">
        <v>84</v>
      </c>
      <c r="G30">
        <v>105.7</v>
      </c>
      <c r="H30">
        <v>-17</v>
      </c>
      <c r="I30" t="s">
        <v>83</v>
      </c>
    </row>
    <row r="31" spans="1:9">
      <c r="A31" s="9">
        <v>0.96875</v>
      </c>
      <c r="B31">
        <v>79.599999999999994</v>
      </c>
      <c r="C31">
        <v>68</v>
      </c>
      <c r="D31">
        <v>230.2</v>
      </c>
      <c r="E31">
        <v>-71.599999999999994</v>
      </c>
      <c r="F31" t="s">
        <v>84</v>
      </c>
      <c r="G31">
        <v>103.3</v>
      </c>
      <c r="H31">
        <v>-14.2</v>
      </c>
      <c r="I31" t="s">
        <v>83</v>
      </c>
    </row>
    <row r="32" spans="1:9">
      <c r="A32" s="9">
        <v>0.97916666666666663</v>
      </c>
      <c r="B32">
        <v>75.599999999999994</v>
      </c>
      <c r="C32">
        <v>70.900000000000006</v>
      </c>
      <c r="D32">
        <v>221.2</v>
      </c>
      <c r="E32">
        <v>-73.8</v>
      </c>
      <c r="F32" t="s">
        <v>84</v>
      </c>
      <c r="G32">
        <v>101</v>
      </c>
      <c r="H32">
        <v>-11.3</v>
      </c>
      <c r="I32" t="s">
        <v>83</v>
      </c>
    </row>
    <row r="33" spans="1:9">
      <c r="A33" s="9">
        <v>0.98958333333333337</v>
      </c>
      <c r="B33">
        <v>70.599999999999994</v>
      </c>
      <c r="C33">
        <v>73.900000000000006</v>
      </c>
      <c r="D33">
        <v>210</v>
      </c>
      <c r="E33">
        <v>-75.599999999999994</v>
      </c>
      <c r="F33" t="s">
        <v>84</v>
      </c>
      <c r="G33">
        <v>98.7</v>
      </c>
      <c r="H33">
        <v>-8.4</v>
      </c>
      <c r="I33" t="s">
        <v>83</v>
      </c>
    </row>
    <row r="34" spans="1:9">
      <c r="A34" s="9">
        <v>0</v>
      </c>
      <c r="B34">
        <v>64</v>
      </c>
      <c r="C34">
        <v>76.7</v>
      </c>
      <c r="D34">
        <v>196.4</v>
      </c>
      <c r="E34">
        <v>-76.8</v>
      </c>
      <c r="F34" t="s">
        <v>84</v>
      </c>
      <c r="G34">
        <v>96.5</v>
      </c>
      <c r="H34">
        <v>-5.6</v>
      </c>
      <c r="I34" t="s">
        <v>83</v>
      </c>
    </row>
    <row r="35" spans="1:9">
      <c r="A35" s="9">
        <v>1.0416666666666666E-2</v>
      </c>
      <c r="B35">
        <v>54.4</v>
      </c>
      <c r="C35">
        <v>79.3</v>
      </c>
      <c r="D35">
        <v>181.2</v>
      </c>
      <c r="E35">
        <v>-77.2</v>
      </c>
      <c r="F35" t="s">
        <v>84</v>
      </c>
      <c r="G35">
        <v>94.3</v>
      </c>
      <c r="H35">
        <v>-2.7</v>
      </c>
      <c r="I35" t="s">
        <v>83</v>
      </c>
    </row>
    <row r="36" spans="1:9">
      <c r="A36" s="9">
        <v>2.0833333333333332E-2</v>
      </c>
      <c r="B36">
        <v>39.799999999999997</v>
      </c>
      <c r="C36">
        <v>81.599999999999994</v>
      </c>
      <c r="D36">
        <v>165.8</v>
      </c>
      <c r="E36">
        <v>-76.900000000000006</v>
      </c>
      <c r="F36" t="s">
        <v>84</v>
      </c>
      <c r="G36">
        <v>92.2</v>
      </c>
      <c r="H36">
        <v>0.3</v>
      </c>
      <c r="I36" t="s">
        <v>84</v>
      </c>
    </row>
    <row r="37" spans="1:9">
      <c r="A37" s="9">
        <v>3.125E-2</v>
      </c>
      <c r="B37">
        <v>17.600000000000001</v>
      </c>
      <c r="C37">
        <v>83.1</v>
      </c>
      <c r="D37">
        <v>151.9</v>
      </c>
      <c r="E37">
        <v>-75.8</v>
      </c>
      <c r="F37" t="s">
        <v>84</v>
      </c>
      <c r="G37">
        <v>90</v>
      </c>
      <c r="H37">
        <v>3.2</v>
      </c>
      <c r="I37" t="s">
        <v>84</v>
      </c>
    </row>
    <row r="38" spans="1:9">
      <c r="A38" s="9">
        <v>4.1666666666666664E-2</v>
      </c>
      <c r="B38">
        <v>349.8</v>
      </c>
      <c r="C38">
        <v>83.3</v>
      </c>
      <c r="D38">
        <v>140.30000000000001</v>
      </c>
      <c r="E38">
        <v>-74.099999999999994</v>
      </c>
      <c r="F38" t="s">
        <v>84</v>
      </c>
      <c r="G38">
        <v>87.8</v>
      </c>
      <c r="H38">
        <v>6.1</v>
      </c>
      <c r="I38" t="s">
        <v>84</v>
      </c>
    </row>
    <row r="39" spans="1:9">
      <c r="A39" s="9">
        <v>5.2083333333333336E-2</v>
      </c>
      <c r="B39">
        <v>325.5</v>
      </c>
      <c r="C39">
        <v>82.1</v>
      </c>
      <c r="D39">
        <v>131</v>
      </c>
      <c r="E39">
        <v>-71.900000000000006</v>
      </c>
      <c r="F39" t="s">
        <v>84</v>
      </c>
      <c r="G39">
        <v>85.6</v>
      </c>
      <c r="H39">
        <v>9</v>
      </c>
      <c r="I39" t="s">
        <v>84</v>
      </c>
    </row>
    <row r="40" spans="1:9">
      <c r="A40" s="9">
        <v>6.25E-2</v>
      </c>
      <c r="B40">
        <v>309</v>
      </c>
      <c r="C40">
        <v>80</v>
      </c>
      <c r="D40">
        <v>123.5</v>
      </c>
      <c r="E40">
        <v>-69.5</v>
      </c>
      <c r="F40" t="s">
        <v>84</v>
      </c>
      <c r="G40">
        <v>83.4</v>
      </c>
      <c r="H40">
        <v>11.9</v>
      </c>
      <c r="I40" t="s">
        <v>84</v>
      </c>
    </row>
    <row r="41" spans="1:9">
      <c r="A41" s="9">
        <v>7.2916666666666671E-2</v>
      </c>
      <c r="B41">
        <v>298.3</v>
      </c>
      <c r="C41">
        <v>77.400000000000006</v>
      </c>
      <c r="D41">
        <v>117.4</v>
      </c>
      <c r="E41">
        <v>-66.900000000000006</v>
      </c>
      <c r="F41" t="s">
        <v>84</v>
      </c>
      <c r="G41">
        <v>81.099999999999994</v>
      </c>
      <c r="H41">
        <v>14.9</v>
      </c>
      <c r="I41" t="s">
        <v>84</v>
      </c>
    </row>
    <row r="42" spans="1:9">
      <c r="A42" s="9">
        <v>8.3333333333333329E-2</v>
      </c>
      <c r="B42">
        <v>291</v>
      </c>
      <c r="C42">
        <v>74.7</v>
      </c>
      <c r="D42">
        <v>112.4</v>
      </c>
      <c r="E42">
        <v>-64.099999999999994</v>
      </c>
      <c r="F42" t="s">
        <v>84</v>
      </c>
      <c r="G42">
        <v>78.8</v>
      </c>
      <c r="H42">
        <v>17.7</v>
      </c>
      <c r="I42" t="s">
        <v>84</v>
      </c>
    </row>
    <row r="43" spans="1:9">
      <c r="A43" s="9">
        <v>9.375E-2</v>
      </c>
      <c r="B43">
        <v>285.60000000000002</v>
      </c>
      <c r="C43">
        <v>71.8</v>
      </c>
      <c r="D43">
        <v>108.2</v>
      </c>
      <c r="E43">
        <v>-61.3</v>
      </c>
      <c r="F43" t="s">
        <v>84</v>
      </c>
      <c r="G43">
        <v>76.400000000000006</v>
      </c>
      <c r="H43">
        <v>20.6</v>
      </c>
      <c r="I43" t="s">
        <v>84</v>
      </c>
    </row>
    <row r="44" spans="1:9">
      <c r="A44" s="9">
        <v>0.10416666666666667</v>
      </c>
      <c r="B44">
        <v>281.39999999999998</v>
      </c>
      <c r="C44">
        <v>68.8</v>
      </c>
      <c r="D44">
        <v>104.5</v>
      </c>
      <c r="E44">
        <v>-58.3</v>
      </c>
      <c r="F44" t="s">
        <v>84</v>
      </c>
      <c r="G44">
        <v>73.900000000000006</v>
      </c>
      <c r="H44">
        <v>23.4</v>
      </c>
      <c r="I44" t="s">
        <v>84</v>
      </c>
    </row>
    <row r="45" spans="1:9">
      <c r="A45" s="9">
        <v>0.11458333333333333</v>
      </c>
      <c r="B45">
        <v>278</v>
      </c>
      <c r="C45">
        <v>65.8</v>
      </c>
      <c r="D45">
        <v>101.3</v>
      </c>
      <c r="E45">
        <v>-55.4</v>
      </c>
      <c r="F45" t="s">
        <v>84</v>
      </c>
      <c r="G45">
        <v>71.3</v>
      </c>
      <c r="H45">
        <v>26.2</v>
      </c>
      <c r="I45" t="s">
        <v>84</v>
      </c>
    </row>
    <row r="46" spans="1:9">
      <c r="A46" s="9">
        <v>0.125</v>
      </c>
      <c r="B46">
        <v>275.10000000000002</v>
      </c>
      <c r="C46">
        <v>62.7</v>
      </c>
      <c r="D46">
        <v>98.4</v>
      </c>
      <c r="E46">
        <v>-52.4</v>
      </c>
      <c r="F46" t="s">
        <v>84</v>
      </c>
      <c r="G46">
        <v>68.5</v>
      </c>
      <c r="H46">
        <v>29</v>
      </c>
      <c r="I46" t="s">
        <v>84</v>
      </c>
    </row>
    <row r="47" spans="1:9">
      <c r="A47" s="9">
        <v>0.13541666666666666</v>
      </c>
      <c r="B47">
        <v>272.5</v>
      </c>
      <c r="C47">
        <v>59.7</v>
      </c>
      <c r="D47">
        <v>95.8</v>
      </c>
      <c r="E47">
        <v>-49.3</v>
      </c>
      <c r="F47" t="s">
        <v>84</v>
      </c>
      <c r="G47">
        <v>65.7</v>
      </c>
      <c r="H47">
        <v>31.7</v>
      </c>
      <c r="I47" t="s">
        <v>84</v>
      </c>
    </row>
    <row r="48" spans="1:9">
      <c r="A48" s="9">
        <v>0.14583333333333334</v>
      </c>
      <c r="B48">
        <v>270.2</v>
      </c>
      <c r="C48">
        <v>56.6</v>
      </c>
      <c r="D48">
        <v>93.3</v>
      </c>
      <c r="E48">
        <v>-46.3</v>
      </c>
      <c r="F48" t="s">
        <v>84</v>
      </c>
      <c r="G48">
        <v>62.6</v>
      </c>
      <c r="H48">
        <v>34.4</v>
      </c>
      <c r="I48" t="s">
        <v>84</v>
      </c>
    </row>
    <row r="49" spans="1:9">
      <c r="A49" s="9">
        <v>0.15625</v>
      </c>
      <c r="B49">
        <v>268.10000000000002</v>
      </c>
      <c r="C49">
        <v>53.6</v>
      </c>
      <c r="D49">
        <v>91</v>
      </c>
      <c r="E49">
        <v>-43.3</v>
      </c>
      <c r="F49" t="s">
        <v>84</v>
      </c>
      <c r="G49">
        <v>59.4</v>
      </c>
      <c r="H49">
        <v>36.9</v>
      </c>
      <c r="I49" t="s">
        <v>84</v>
      </c>
    </row>
    <row r="50" spans="1:9">
      <c r="A50" s="9">
        <v>0.16666666666666666</v>
      </c>
      <c r="B50">
        <v>266.10000000000002</v>
      </c>
      <c r="C50">
        <v>50.5</v>
      </c>
      <c r="D50">
        <v>88.8</v>
      </c>
      <c r="E50">
        <v>-40.200000000000003</v>
      </c>
      <c r="F50" t="s">
        <v>84</v>
      </c>
      <c r="G50">
        <v>55.9</v>
      </c>
      <c r="H50">
        <v>39.4</v>
      </c>
      <c r="I50" t="s">
        <v>84</v>
      </c>
    </row>
    <row r="51" spans="1:9">
      <c r="A51" s="9">
        <v>0.17708333333333334</v>
      </c>
      <c r="B51">
        <v>264.2</v>
      </c>
      <c r="C51">
        <v>47.5</v>
      </c>
      <c r="D51">
        <v>86.7</v>
      </c>
      <c r="E51">
        <v>-37.200000000000003</v>
      </c>
      <c r="F51" t="s">
        <v>84</v>
      </c>
      <c r="G51">
        <v>52.2</v>
      </c>
      <c r="H51">
        <v>41.8</v>
      </c>
      <c r="I51" t="s">
        <v>84</v>
      </c>
    </row>
    <row r="52" spans="1:9">
      <c r="A52" s="9">
        <v>0.1875</v>
      </c>
      <c r="B52">
        <v>262.39999999999998</v>
      </c>
      <c r="C52">
        <v>44.4</v>
      </c>
      <c r="D52">
        <v>84.7</v>
      </c>
      <c r="E52">
        <v>-34.1</v>
      </c>
      <c r="F52" t="s">
        <v>84</v>
      </c>
      <c r="G52">
        <v>48.3</v>
      </c>
      <c r="H52">
        <v>44</v>
      </c>
      <c r="I52" t="s">
        <v>84</v>
      </c>
    </row>
    <row r="53" spans="1:9">
      <c r="A53" s="9">
        <v>0.19791666666666666</v>
      </c>
      <c r="B53">
        <v>260.60000000000002</v>
      </c>
      <c r="C53">
        <v>41.4</v>
      </c>
      <c r="D53">
        <v>82.7</v>
      </c>
      <c r="E53">
        <v>-31.1</v>
      </c>
      <c r="F53" t="s">
        <v>84</v>
      </c>
      <c r="G53">
        <v>44</v>
      </c>
      <c r="H53">
        <v>46.1</v>
      </c>
      <c r="I53" t="s">
        <v>84</v>
      </c>
    </row>
    <row r="54" spans="1:9">
      <c r="A54" s="9">
        <v>0.20833333333333334</v>
      </c>
      <c r="B54">
        <v>258.89999999999998</v>
      </c>
      <c r="C54">
        <v>38.4</v>
      </c>
      <c r="D54">
        <v>80.8</v>
      </c>
      <c r="E54">
        <v>-28.1</v>
      </c>
      <c r="F54" t="s">
        <v>84</v>
      </c>
      <c r="G54">
        <v>39.4</v>
      </c>
      <c r="H54">
        <v>48.1</v>
      </c>
      <c r="I54" t="s">
        <v>84</v>
      </c>
    </row>
    <row r="55" spans="1:9">
      <c r="A55" s="9">
        <v>0.21875</v>
      </c>
      <c r="B55">
        <v>257.2</v>
      </c>
      <c r="C55">
        <v>35.4</v>
      </c>
      <c r="D55">
        <v>78.900000000000006</v>
      </c>
      <c r="E55">
        <v>-25.1</v>
      </c>
      <c r="F55" t="s">
        <v>84</v>
      </c>
      <c r="G55">
        <v>34.4</v>
      </c>
      <c r="H55">
        <v>49.8</v>
      </c>
      <c r="I55" t="s">
        <v>84</v>
      </c>
    </row>
    <row r="56" spans="1:9">
      <c r="A56" s="9">
        <v>0.22916666666666666</v>
      </c>
      <c r="B56">
        <v>255.5</v>
      </c>
      <c r="C56">
        <v>32.5</v>
      </c>
      <c r="D56">
        <v>77</v>
      </c>
      <c r="E56">
        <v>-22.1</v>
      </c>
      <c r="F56" t="s">
        <v>84</v>
      </c>
      <c r="G56">
        <v>29.1</v>
      </c>
      <c r="H56">
        <v>51.3</v>
      </c>
      <c r="I56" t="s">
        <v>84</v>
      </c>
    </row>
    <row r="57" spans="1:9">
      <c r="A57" s="9">
        <v>0.23958333333333334</v>
      </c>
      <c r="B57">
        <v>253.8</v>
      </c>
      <c r="C57">
        <v>29.5</v>
      </c>
      <c r="D57">
        <v>75.099999999999994</v>
      </c>
      <c r="E57">
        <v>-19.2</v>
      </c>
      <c r="F57" t="s">
        <v>84</v>
      </c>
      <c r="G57">
        <v>23.5</v>
      </c>
      <c r="H57">
        <v>52.6</v>
      </c>
      <c r="I57" t="s">
        <v>84</v>
      </c>
    </row>
    <row r="58" spans="1:9">
      <c r="A58" s="9">
        <v>0.25</v>
      </c>
      <c r="B58">
        <v>252</v>
      </c>
      <c r="C58">
        <v>26.6</v>
      </c>
      <c r="D58">
        <v>73.099999999999994</v>
      </c>
      <c r="E58">
        <v>-16.2</v>
      </c>
      <c r="F58" t="s">
        <v>84</v>
      </c>
      <c r="G58">
        <v>17.600000000000001</v>
      </c>
      <c r="H58">
        <v>53.6</v>
      </c>
      <c r="I58" t="s">
        <v>84</v>
      </c>
    </row>
    <row r="59" spans="1:9">
      <c r="A59" s="9">
        <v>0.26041666666666669</v>
      </c>
      <c r="B59">
        <v>250.3</v>
      </c>
      <c r="C59">
        <v>23.7</v>
      </c>
      <c r="D59">
        <v>71.2</v>
      </c>
      <c r="E59">
        <v>-13.3</v>
      </c>
      <c r="F59" t="s">
        <v>84</v>
      </c>
      <c r="G59">
        <v>11.5</v>
      </c>
      <c r="H59">
        <v>54.3</v>
      </c>
      <c r="I59" t="s">
        <v>84</v>
      </c>
    </row>
    <row r="60" spans="1:9">
      <c r="A60" s="9">
        <v>0.27083333333333331</v>
      </c>
      <c r="B60">
        <v>248.6</v>
      </c>
      <c r="C60">
        <v>20.8</v>
      </c>
      <c r="D60">
        <v>69.2</v>
      </c>
      <c r="E60">
        <v>-10.5</v>
      </c>
      <c r="F60" t="s">
        <v>84</v>
      </c>
      <c r="G60">
        <v>5.0999999999999996</v>
      </c>
      <c r="H60">
        <v>54.6</v>
      </c>
      <c r="I60" t="s">
        <v>84</v>
      </c>
    </row>
    <row r="61" spans="1:9">
      <c r="A61" s="9">
        <v>0.28125</v>
      </c>
      <c r="B61">
        <v>246.8</v>
      </c>
      <c r="C61">
        <v>18</v>
      </c>
      <c r="D61">
        <v>67.2</v>
      </c>
      <c r="E61">
        <v>-7.6</v>
      </c>
      <c r="F61" t="s">
        <v>84</v>
      </c>
      <c r="G61">
        <v>358.8</v>
      </c>
      <c r="H61">
        <v>54.7</v>
      </c>
      <c r="I61" t="s">
        <v>84</v>
      </c>
    </row>
    <row r="62" spans="1:9">
      <c r="A62" s="9">
        <v>0.29166666666666669</v>
      </c>
      <c r="B62">
        <v>245</v>
      </c>
      <c r="C62">
        <v>15.2</v>
      </c>
      <c r="D62">
        <v>65.2</v>
      </c>
      <c r="E62">
        <v>-4.8</v>
      </c>
      <c r="F62" t="s">
        <v>84</v>
      </c>
      <c r="G62">
        <v>352.4</v>
      </c>
      <c r="H62">
        <v>54.4</v>
      </c>
      <c r="I62" t="s">
        <v>84</v>
      </c>
    </row>
    <row r="63" spans="1:9">
      <c r="A63" s="9">
        <v>0.30208333333333331</v>
      </c>
      <c r="B63">
        <v>243.1</v>
      </c>
      <c r="C63">
        <v>12.5</v>
      </c>
      <c r="D63">
        <v>63.1</v>
      </c>
      <c r="E63">
        <v>-2.1</v>
      </c>
      <c r="F63" t="s">
        <v>84</v>
      </c>
      <c r="G63">
        <v>346.2</v>
      </c>
      <c r="H63">
        <v>53.8</v>
      </c>
      <c r="I63" t="s">
        <v>84</v>
      </c>
    </row>
    <row r="64" spans="1:9">
      <c r="A64" s="9">
        <v>0.3125</v>
      </c>
      <c r="B64">
        <v>241.2</v>
      </c>
      <c r="C64">
        <v>9.8000000000000007</v>
      </c>
      <c r="D64">
        <v>60.9</v>
      </c>
      <c r="E64">
        <v>0.6</v>
      </c>
      <c r="F64" t="s">
        <v>84</v>
      </c>
      <c r="G64">
        <v>340.2</v>
      </c>
      <c r="H64">
        <v>52.8</v>
      </c>
      <c r="I64" t="s">
        <v>84</v>
      </c>
    </row>
    <row r="65" spans="1:9">
      <c r="A65" s="9">
        <v>0.32291666666666669</v>
      </c>
      <c r="B65">
        <v>239.2</v>
      </c>
      <c r="C65">
        <v>7.1</v>
      </c>
      <c r="D65">
        <v>58.7</v>
      </c>
      <c r="E65">
        <v>3.2</v>
      </c>
      <c r="F65" t="s">
        <v>84</v>
      </c>
      <c r="G65">
        <v>334.6</v>
      </c>
      <c r="H65">
        <v>51.6</v>
      </c>
      <c r="I65" t="s">
        <v>84</v>
      </c>
    </row>
    <row r="66" spans="1:9">
      <c r="A66" s="9">
        <v>0.33333333333333331</v>
      </c>
      <c r="B66">
        <v>237.2</v>
      </c>
      <c r="C66">
        <v>4.5</v>
      </c>
      <c r="D66">
        <v>56.4</v>
      </c>
      <c r="E66">
        <v>5.8</v>
      </c>
      <c r="F66" t="s">
        <v>84</v>
      </c>
      <c r="G66">
        <v>329.2</v>
      </c>
      <c r="H66">
        <v>50.1</v>
      </c>
      <c r="I66" t="s">
        <v>84</v>
      </c>
    </row>
    <row r="67" spans="1:9">
      <c r="A67" s="9">
        <v>0.34375</v>
      </c>
      <c r="B67">
        <v>235.1</v>
      </c>
      <c r="C67">
        <v>2</v>
      </c>
      <c r="D67">
        <v>54</v>
      </c>
      <c r="E67">
        <v>8.3000000000000007</v>
      </c>
      <c r="F67" t="s">
        <v>84</v>
      </c>
      <c r="G67">
        <v>324.2</v>
      </c>
      <c r="H67">
        <v>48.4</v>
      </c>
      <c r="I67" t="s">
        <v>84</v>
      </c>
    </row>
    <row r="68" spans="1:9">
      <c r="A68" s="9">
        <v>0.35416666666666669</v>
      </c>
      <c r="B68">
        <v>232.9</v>
      </c>
      <c r="C68">
        <v>-0.5</v>
      </c>
      <c r="D68">
        <v>51.5</v>
      </c>
      <c r="E68">
        <v>10.7</v>
      </c>
      <c r="F68" t="s">
        <v>83</v>
      </c>
      <c r="G68">
        <v>319.5</v>
      </c>
      <c r="H68">
        <v>46.5</v>
      </c>
      <c r="I68" t="s">
        <v>84</v>
      </c>
    </row>
    <row r="69" spans="1:9">
      <c r="A69" s="9">
        <v>0.36458333333333331</v>
      </c>
      <c r="B69">
        <v>230.7</v>
      </c>
      <c r="C69">
        <v>-2.9</v>
      </c>
      <c r="D69">
        <v>48.9</v>
      </c>
      <c r="E69">
        <v>13.1</v>
      </c>
      <c r="F69" t="s">
        <v>83</v>
      </c>
      <c r="G69">
        <v>315.2</v>
      </c>
      <c r="H69">
        <v>44.4</v>
      </c>
      <c r="I69" t="s">
        <v>84</v>
      </c>
    </row>
    <row r="70" spans="1:9">
      <c r="A70" s="9">
        <v>0.375</v>
      </c>
      <c r="B70">
        <v>228.4</v>
      </c>
      <c r="C70">
        <v>-5.2</v>
      </c>
      <c r="D70">
        <v>46.2</v>
      </c>
      <c r="E70">
        <v>15.3</v>
      </c>
      <c r="F70" t="s">
        <v>83</v>
      </c>
      <c r="G70">
        <v>311.2</v>
      </c>
      <c r="H70">
        <v>42.2</v>
      </c>
      <c r="I70" t="s">
        <v>84</v>
      </c>
    </row>
    <row r="71" spans="1:9">
      <c r="A71" s="9">
        <v>0.38541666666666669</v>
      </c>
      <c r="B71">
        <v>225.9</v>
      </c>
      <c r="C71">
        <v>-7.5</v>
      </c>
      <c r="D71">
        <v>43.3</v>
      </c>
      <c r="E71">
        <v>17.399999999999999</v>
      </c>
      <c r="F71" t="s">
        <v>83</v>
      </c>
      <c r="G71">
        <v>307.39999999999998</v>
      </c>
      <c r="H71">
        <v>39.799999999999997</v>
      </c>
      <c r="I71" t="s">
        <v>84</v>
      </c>
    </row>
    <row r="72" spans="1:9">
      <c r="A72" s="9">
        <v>0.39583333333333331</v>
      </c>
      <c r="B72">
        <v>223.4</v>
      </c>
      <c r="C72">
        <v>-9.6</v>
      </c>
      <c r="D72">
        <v>40.4</v>
      </c>
      <c r="E72">
        <v>19.5</v>
      </c>
      <c r="F72" t="s">
        <v>83</v>
      </c>
      <c r="G72">
        <v>303.89999999999998</v>
      </c>
      <c r="H72">
        <v>37.4</v>
      </c>
      <c r="I72" t="s">
        <v>84</v>
      </c>
    </row>
    <row r="73" spans="1:9">
      <c r="A73" s="9">
        <v>0.40625</v>
      </c>
      <c r="B73">
        <v>220.8</v>
      </c>
      <c r="C73">
        <v>-11.6</v>
      </c>
      <c r="D73">
        <v>37.299999999999997</v>
      </c>
      <c r="E73">
        <v>21.4</v>
      </c>
      <c r="F73" t="s">
        <v>83</v>
      </c>
      <c r="G73">
        <v>300.7</v>
      </c>
      <c r="H73">
        <v>34.799999999999997</v>
      </c>
      <c r="I73" t="s">
        <v>84</v>
      </c>
    </row>
    <row r="74" spans="1:9">
      <c r="A74" s="9">
        <v>0.41666666666666669</v>
      </c>
      <c r="B74">
        <v>218.1</v>
      </c>
      <c r="C74">
        <v>-13.6</v>
      </c>
      <c r="D74">
        <v>34.1</v>
      </c>
      <c r="E74">
        <v>23.2</v>
      </c>
      <c r="F74" t="s">
        <v>83</v>
      </c>
      <c r="G74">
        <v>297.60000000000002</v>
      </c>
      <c r="H74">
        <v>32.1</v>
      </c>
      <c r="I74" t="s">
        <v>84</v>
      </c>
    </row>
    <row r="75" spans="1:9">
      <c r="A75" s="9">
        <v>0.42708333333333331</v>
      </c>
      <c r="B75">
        <v>215.2</v>
      </c>
      <c r="C75">
        <v>-15.4</v>
      </c>
      <c r="D75">
        <v>30.8</v>
      </c>
      <c r="E75">
        <v>24.8</v>
      </c>
      <c r="F75" t="s">
        <v>83</v>
      </c>
      <c r="G75">
        <v>294.8</v>
      </c>
      <c r="H75">
        <v>29.4</v>
      </c>
      <c r="I75" t="s">
        <v>84</v>
      </c>
    </row>
    <row r="76" spans="1:9">
      <c r="A76" s="9">
        <v>0.4375</v>
      </c>
      <c r="B76">
        <v>212.3</v>
      </c>
      <c r="C76">
        <v>-17.100000000000001</v>
      </c>
      <c r="D76">
        <v>27.3</v>
      </c>
      <c r="E76">
        <v>26.3</v>
      </c>
      <c r="F76" t="s">
        <v>83</v>
      </c>
      <c r="G76">
        <v>292.10000000000002</v>
      </c>
      <c r="H76">
        <v>26.6</v>
      </c>
      <c r="I76" t="s">
        <v>84</v>
      </c>
    </row>
    <row r="77" spans="1:9">
      <c r="A77" s="9">
        <v>0.44791666666666669</v>
      </c>
      <c r="B77">
        <v>209.3</v>
      </c>
      <c r="C77">
        <v>-18.7</v>
      </c>
      <c r="D77">
        <v>23.7</v>
      </c>
      <c r="E77">
        <v>27.6</v>
      </c>
      <c r="F77" t="s">
        <v>83</v>
      </c>
      <c r="G77">
        <v>289.5</v>
      </c>
      <c r="H77">
        <v>23.8</v>
      </c>
      <c r="I77" t="s">
        <v>84</v>
      </c>
    </row>
    <row r="78" spans="1:9">
      <c r="A78" s="9">
        <v>0.45833333333333331</v>
      </c>
      <c r="B78">
        <v>206.1</v>
      </c>
      <c r="C78">
        <v>-20.100000000000001</v>
      </c>
      <c r="D78">
        <v>20</v>
      </c>
      <c r="E78">
        <v>28.7</v>
      </c>
      <c r="F78" t="s">
        <v>83</v>
      </c>
      <c r="G78">
        <v>287</v>
      </c>
      <c r="H78">
        <v>21</v>
      </c>
      <c r="I78" t="s">
        <v>84</v>
      </c>
    </row>
    <row r="79" spans="1:9">
      <c r="A79" s="9">
        <v>0.46875</v>
      </c>
      <c r="B79">
        <v>202.9</v>
      </c>
      <c r="C79">
        <v>-21.4</v>
      </c>
      <c r="D79">
        <v>16.2</v>
      </c>
      <c r="E79">
        <v>29.7</v>
      </c>
      <c r="F79" t="s">
        <v>83</v>
      </c>
      <c r="G79">
        <v>284.7</v>
      </c>
      <c r="H79">
        <v>18</v>
      </c>
      <c r="I79" t="s">
        <v>84</v>
      </c>
    </row>
    <row r="80" spans="1:9">
      <c r="A80" s="9">
        <v>0.47916666666666669</v>
      </c>
      <c r="B80">
        <v>199.5</v>
      </c>
      <c r="C80">
        <v>-22.5</v>
      </c>
      <c r="D80">
        <v>12.3</v>
      </c>
      <c r="E80">
        <v>30.4</v>
      </c>
      <c r="F80" t="s">
        <v>83</v>
      </c>
      <c r="G80">
        <v>282.39999999999998</v>
      </c>
      <c r="H80">
        <v>15.1</v>
      </c>
      <c r="I80" t="s">
        <v>84</v>
      </c>
    </row>
    <row r="81" spans="1:9">
      <c r="A81" s="9">
        <v>0.48958333333333331</v>
      </c>
      <c r="B81">
        <v>196.1</v>
      </c>
      <c r="C81">
        <v>-23.4</v>
      </c>
      <c r="D81">
        <v>8.4</v>
      </c>
      <c r="E81">
        <v>31</v>
      </c>
      <c r="F81" t="s">
        <v>83</v>
      </c>
      <c r="G81">
        <v>280.2</v>
      </c>
      <c r="H81">
        <v>12.2</v>
      </c>
      <c r="I81" t="s">
        <v>84</v>
      </c>
    </row>
    <row r="82" spans="1:9">
      <c r="A82" s="9">
        <v>0.5</v>
      </c>
      <c r="B82">
        <v>192.6</v>
      </c>
      <c r="C82">
        <v>-24.2</v>
      </c>
      <c r="D82">
        <v>4.4000000000000004</v>
      </c>
      <c r="E82">
        <v>31.3</v>
      </c>
      <c r="F82" t="s">
        <v>83</v>
      </c>
      <c r="G82">
        <v>278</v>
      </c>
      <c r="H82">
        <v>9.1999999999999993</v>
      </c>
      <c r="I82" t="s">
        <v>84</v>
      </c>
    </row>
    <row r="83" spans="1:9">
      <c r="A83" s="9">
        <v>0.51041666666666663</v>
      </c>
      <c r="B83">
        <v>189.1</v>
      </c>
      <c r="C83">
        <v>-24.7</v>
      </c>
      <c r="D83">
        <v>0.3</v>
      </c>
      <c r="E83">
        <v>31.4</v>
      </c>
      <c r="F83" t="s">
        <v>83</v>
      </c>
      <c r="G83">
        <v>275.89999999999998</v>
      </c>
      <c r="H83">
        <v>6.2</v>
      </c>
      <c r="I83" t="s">
        <v>84</v>
      </c>
    </row>
    <row r="84" spans="1:9">
      <c r="A84" s="9">
        <v>0.52083333333333337</v>
      </c>
      <c r="B84">
        <v>185.5</v>
      </c>
      <c r="C84">
        <v>-25.1</v>
      </c>
      <c r="D84">
        <v>356.3</v>
      </c>
      <c r="E84">
        <v>31.3</v>
      </c>
      <c r="F84" t="s">
        <v>83</v>
      </c>
      <c r="G84">
        <v>273.8</v>
      </c>
      <c r="H84">
        <v>3.2</v>
      </c>
      <c r="I84" t="s">
        <v>84</v>
      </c>
    </row>
    <row r="85" spans="1:9">
      <c r="A85" s="9">
        <v>0.53125</v>
      </c>
      <c r="B85">
        <v>181.8</v>
      </c>
      <c r="C85">
        <v>-25.3</v>
      </c>
      <c r="D85">
        <v>352.3</v>
      </c>
      <c r="E85">
        <v>31</v>
      </c>
      <c r="F85" t="s">
        <v>83</v>
      </c>
      <c r="G85">
        <v>271.7</v>
      </c>
      <c r="H85">
        <v>0.2</v>
      </c>
      <c r="I85" t="s">
        <v>84</v>
      </c>
    </row>
    <row r="86" spans="1:9">
      <c r="A86" s="9">
        <v>0.54166666666666663</v>
      </c>
      <c r="B86">
        <v>178.2</v>
      </c>
      <c r="C86">
        <v>-25.3</v>
      </c>
      <c r="D86">
        <v>348.3</v>
      </c>
      <c r="E86">
        <v>30.5</v>
      </c>
      <c r="F86" t="s">
        <v>83</v>
      </c>
      <c r="G86">
        <v>269.60000000000002</v>
      </c>
      <c r="H86">
        <v>-2.8</v>
      </c>
      <c r="I86" t="s">
        <v>83</v>
      </c>
    </row>
    <row r="87" spans="1:9">
      <c r="A87" s="9">
        <v>0.55208333333333337</v>
      </c>
      <c r="B87">
        <v>174.6</v>
      </c>
      <c r="C87">
        <v>-25.1</v>
      </c>
      <c r="D87">
        <v>344.4</v>
      </c>
      <c r="E87">
        <v>29.8</v>
      </c>
      <c r="F87" t="s">
        <v>83</v>
      </c>
      <c r="G87">
        <v>267.60000000000002</v>
      </c>
      <c r="H87">
        <v>-5.7</v>
      </c>
      <c r="I87" t="s">
        <v>83</v>
      </c>
    </row>
    <row r="88" spans="1:9">
      <c r="A88" s="9">
        <v>0.5625</v>
      </c>
      <c r="B88">
        <v>171</v>
      </c>
      <c r="C88">
        <v>-24.7</v>
      </c>
      <c r="D88">
        <v>340.6</v>
      </c>
      <c r="E88">
        <v>28.9</v>
      </c>
      <c r="F88" t="s">
        <v>83</v>
      </c>
      <c r="G88">
        <v>265.5</v>
      </c>
      <c r="H88">
        <v>-8.6999999999999993</v>
      </c>
      <c r="I88" t="s">
        <v>83</v>
      </c>
    </row>
    <row r="89" spans="1:9">
      <c r="A89" s="9">
        <v>0.57291666666666663</v>
      </c>
      <c r="B89">
        <v>167.4</v>
      </c>
      <c r="C89">
        <v>-24.2</v>
      </c>
      <c r="D89">
        <v>336.8</v>
      </c>
      <c r="E89">
        <v>27.8</v>
      </c>
      <c r="F89" t="s">
        <v>83</v>
      </c>
      <c r="G89">
        <v>263.39999999999998</v>
      </c>
      <c r="H89">
        <v>-11.7</v>
      </c>
      <c r="I89" t="s">
        <v>83</v>
      </c>
    </row>
    <row r="90" spans="1:9">
      <c r="A90" s="9">
        <v>0.58333333333333337</v>
      </c>
      <c r="B90">
        <v>163.9</v>
      </c>
      <c r="C90">
        <v>-23.4</v>
      </c>
      <c r="D90">
        <v>333.2</v>
      </c>
      <c r="E90">
        <v>26.5</v>
      </c>
      <c r="F90" t="s">
        <v>83</v>
      </c>
      <c r="G90">
        <v>261.2</v>
      </c>
      <c r="H90">
        <v>-14.7</v>
      </c>
      <c r="I90" t="s">
        <v>83</v>
      </c>
    </row>
    <row r="91" spans="1:9">
      <c r="A91" s="9">
        <v>0.59375</v>
      </c>
      <c r="B91">
        <v>160.5</v>
      </c>
      <c r="C91">
        <v>-22.5</v>
      </c>
      <c r="D91">
        <v>329.8</v>
      </c>
      <c r="E91">
        <v>25</v>
      </c>
      <c r="F91" t="s">
        <v>83</v>
      </c>
      <c r="G91">
        <v>259</v>
      </c>
      <c r="H91">
        <v>-17.600000000000001</v>
      </c>
      <c r="I91" t="s">
        <v>83</v>
      </c>
    </row>
    <row r="92" spans="1:9">
      <c r="A92" s="9">
        <v>0.60416666666666663</v>
      </c>
      <c r="B92">
        <v>157.19999999999999</v>
      </c>
      <c r="C92">
        <v>-21.4</v>
      </c>
      <c r="D92">
        <v>326.39999999999998</v>
      </c>
      <c r="E92">
        <v>23.4</v>
      </c>
      <c r="F92" t="s">
        <v>83</v>
      </c>
      <c r="G92">
        <v>256.7</v>
      </c>
      <c r="H92">
        <v>-20.5</v>
      </c>
      <c r="I92" t="s">
        <v>83</v>
      </c>
    </row>
    <row r="93" spans="1:9">
      <c r="A93" s="9">
        <v>0.61458333333333337</v>
      </c>
      <c r="B93">
        <v>153.9</v>
      </c>
      <c r="C93">
        <v>-20.100000000000001</v>
      </c>
      <c r="D93">
        <v>323.2</v>
      </c>
      <c r="E93">
        <v>21.7</v>
      </c>
      <c r="F93" t="s">
        <v>83</v>
      </c>
      <c r="G93">
        <v>254.4</v>
      </c>
      <c r="H93">
        <v>-23.4</v>
      </c>
      <c r="I93" t="s">
        <v>83</v>
      </c>
    </row>
    <row r="94" spans="1:9">
      <c r="A94" s="9">
        <v>0.625</v>
      </c>
      <c r="B94">
        <v>150.80000000000001</v>
      </c>
      <c r="C94">
        <v>-18.7</v>
      </c>
      <c r="D94">
        <v>320.10000000000002</v>
      </c>
      <c r="E94">
        <v>19.8</v>
      </c>
      <c r="F94" t="s">
        <v>83</v>
      </c>
      <c r="G94">
        <v>251.9</v>
      </c>
      <c r="H94">
        <v>-26.3</v>
      </c>
      <c r="I94" t="s">
        <v>83</v>
      </c>
    </row>
    <row r="95" spans="1:9">
      <c r="A95" s="9">
        <v>0.63541666666666663</v>
      </c>
      <c r="B95">
        <v>147.69999999999999</v>
      </c>
      <c r="C95">
        <v>-17.100000000000001</v>
      </c>
      <c r="D95">
        <v>317.10000000000002</v>
      </c>
      <c r="E95">
        <v>17.8</v>
      </c>
      <c r="F95" t="s">
        <v>83</v>
      </c>
      <c r="G95">
        <v>249.4</v>
      </c>
      <c r="H95">
        <v>-29.1</v>
      </c>
      <c r="I95" t="s">
        <v>83</v>
      </c>
    </row>
    <row r="96" spans="1:9">
      <c r="A96" s="9">
        <v>0.64583333333333337</v>
      </c>
      <c r="B96">
        <v>144.80000000000001</v>
      </c>
      <c r="C96">
        <v>-15.4</v>
      </c>
      <c r="D96">
        <v>314.3</v>
      </c>
      <c r="E96">
        <v>15.6</v>
      </c>
      <c r="F96" t="s">
        <v>83</v>
      </c>
      <c r="G96">
        <v>246.7</v>
      </c>
      <c r="H96">
        <v>-31.8</v>
      </c>
      <c r="I96" t="s">
        <v>83</v>
      </c>
    </row>
    <row r="97" spans="1:9">
      <c r="A97" s="9">
        <v>0.65625</v>
      </c>
      <c r="B97">
        <v>142</v>
      </c>
      <c r="C97">
        <v>-13.6</v>
      </c>
      <c r="D97">
        <v>311.60000000000002</v>
      </c>
      <c r="E97">
        <v>13.4</v>
      </c>
      <c r="F97" t="s">
        <v>83</v>
      </c>
      <c r="G97">
        <v>243.8</v>
      </c>
      <c r="H97">
        <v>-34.5</v>
      </c>
      <c r="I97" t="s">
        <v>83</v>
      </c>
    </row>
    <row r="98" spans="1:9">
      <c r="A98" s="9">
        <v>0.66666666666666663</v>
      </c>
      <c r="B98">
        <v>139.19999999999999</v>
      </c>
      <c r="C98">
        <v>-11.7</v>
      </c>
      <c r="D98">
        <v>309</v>
      </c>
      <c r="E98">
        <v>11.1</v>
      </c>
      <c r="F98" t="s">
        <v>83</v>
      </c>
      <c r="G98">
        <v>240.8</v>
      </c>
      <c r="H98">
        <v>-37.200000000000003</v>
      </c>
      <c r="I98" t="s">
        <v>83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67"/>
  <sheetViews>
    <sheetView topLeftCell="A10" workbookViewId="0">
      <selection activeCell="H68" sqref="A1:H68"/>
    </sheetView>
  </sheetViews>
  <sheetFormatPr defaultRowHeight="14.5"/>
  <cols>
    <col min="1" max="1" width="5.1796875" bestFit="1" customWidth="1"/>
    <col min="2" max="4" width="12.453125" bestFit="1" customWidth="1"/>
    <col min="5" max="5" width="14.81640625" bestFit="1" customWidth="1"/>
    <col min="6" max="6" width="11.54296875" bestFit="1" customWidth="1"/>
    <col min="7" max="7" width="10.26953125" bestFit="1" customWidth="1"/>
    <col min="8" max="8" width="10.81640625" bestFit="1" customWidth="1"/>
  </cols>
  <sheetData>
    <row r="1" spans="1:8">
      <c r="A1" s="22" t="s">
        <v>103</v>
      </c>
      <c r="B1" s="22" t="s">
        <v>104</v>
      </c>
      <c r="C1" s="22" t="s">
        <v>105</v>
      </c>
      <c r="D1" s="22" t="s">
        <v>106</v>
      </c>
      <c r="E1" s="22" t="s">
        <v>107</v>
      </c>
      <c r="F1" s="22" t="s">
        <v>108</v>
      </c>
      <c r="G1" s="22" t="s">
        <v>109</v>
      </c>
      <c r="H1" s="22" t="s">
        <v>247</v>
      </c>
    </row>
    <row r="2" spans="1:8">
      <c r="A2" s="23">
        <v>0</v>
      </c>
      <c r="B2" s="23">
        <v>0</v>
      </c>
      <c r="C2" s="23">
        <v>0</v>
      </c>
      <c r="D2" s="23">
        <v>0</v>
      </c>
      <c r="E2" s="23">
        <v>0</v>
      </c>
      <c r="F2" s="23">
        <v>0</v>
      </c>
      <c r="G2">
        <v>0</v>
      </c>
    </row>
    <row r="3" spans="1:8">
      <c r="A3" s="23">
        <v>0</v>
      </c>
      <c r="B3" s="23">
        <v>0</v>
      </c>
      <c r="C3" s="23">
        <v>0</v>
      </c>
      <c r="D3" s="23">
        <v>180</v>
      </c>
      <c r="E3" s="23">
        <v>0</v>
      </c>
      <c r="F3" s="23">
        <v>0</v>
      </c>
      <c r="G3">
        <v>0</v>
      </c>
      <c r="H3">
        <v>3</v>
      </c>
    </row>
    <row r="4" spans="1:8">
      <c r="A4" s="23">
        <v>0</v>
      </c>
      <c r="B4" s="23">
        <v>0</v>
      </c>
      <c r="C4" s="23">
        <v>0</v>
      </c>
      <c r="D4" s="23">
        <v>180</v>
      </c>
      <c r="E4" s="23">
        <v>0</v>
      </c>
      <c r="F4" s="23">
        <v>0</v>
      </c>
      <c r="G4">
        <v>0</v>
      </c>
    </row>
    <row r="5" spans="1:8">
      <c r="A5" s="23">
        <v>0</v>
      </c>
      <c r="B5" s="23">
        <v>9.2021418959680132E-20</v>
      </c>
      <c r="C5" s="23">
        <v>-2.8479999999999998E-5</v>
      </c>
      <c r="D5" s="23">
        <v>180</v>
      </c>
      <c r="E5" s="23">
        <v>2.8479999999999998E-5</v>
      </c>
      <c r="F5" s="23">
        <v>0</v>
      </c>
      <c r="G5">
        <v>10</v>
      </c>
    </row>
    <row r="6" spans="1:8">
      <c r="A6" s="23">
        <v>0</v>
      </c>
      <c r="B6" s="23">
        <v>6.9016064219760103E-19</v>
      </c>
      <c r="C6" s="23">
        <v>-2.1359999999999999E-4</v>
      </c>
      <c r="D6" s="23">
        <v>180</v>
      </c>
      <c r="E6" s="23">
        <v>1.8511999999999999E-4</v>
      </c>
      <c r="F6" s="23">
        <v>0</v>
      </c>
      <c r="G6">
        <v>20</v>
      </c>
    </row>
    <row r="7" spans="1:8">
      <c r="A7">
        <v>0</v>
      </c>
      <c r="B7">
        <v>1.2422891559556818E-18</v>
      </c>
      <c r="C7">
        <v>-3.8447999999999998E-4</v>
      </c>
      <c r="D7">
        <v>180</v>
      </c>
      <c r="E7">
        <v>1.7087999999999999E-4</v>
      </c>
      <c r="F7">
        <v>0</v>
      </c>
      <c r="G7">
        <v>30</v>
      </c>
    </row>
    <row r="8" spans="1:8">
      <c r="A8">
        <v>0</v>
      </c>
      <c r="B8">
        <v>1.6563855412742424E-18</v>
      </c>
      <c r="C8">
        <v>-5.1263999999999997E-4</v>
      </c>
      <c r="D8">
        <v>180</v>
      </c>
      <c r="E8">
        <v>1.2815999999999999E-4</v>
      </c>
      <c r="F8">
        <v>0</v>
      </c>
      <c r="G8">
        <v>40</v>
      </c>
    </row>
    <row r="9" spans="1:8">
      <c r="A9">
        <v>0</v>
      </c>
      <c r="B9">
        <v>3.6003380167974856E-18</v>
      </c>
      <c r="C9">
        <v>-1.11428E-3</v>
      </c>
      <c r="D9">
        <v>180</v>
      </c>
      <c r="E9">
        <v>6.0163999999999997E-4</v>
      </c>
      <c r="F9">
        <v>0</v>
      </c>
      <c r="G9">
        <v>50</v>
      </c>
    </row>
    <row r="10" spans="1:8">
      <c r="A10">
        <v>0</v>
      </c>
      <c r="B10">
        <v>5.0381726880424875E-18</v>
      </c>
      <c r="C10">
        <v>-1.5592800000000001E-3</v>
      </c>
      <c r="D10">
        <v>180</v>
      </c>
      <c r="E10">
        <v>4.4499999999999997E-4</v>
      </c>
      <c r="F10">
        <v>0</v>
      </c>
      <c r="G10">
        <v>60</v>
      </c>
    </row>
    <row r="11" spans="1:8">
      <c r="A11">
        <v>0</v>
      </c>
      <c r="B11">
        <v>8.6385107048399731E-18</v>
      </c>
      <c r="C11">
        <v>-2.6735600000000002E-3</v>
      </c>
      <c r="D11">
        <v>180</v>
      </c>
      <c r="E11">
        <v>1.11428E-3</v>
      </c>
      <c r="F11">
        <v>0</v>
      </c>
      <c r="G11">
        <v>70</v>
      </c>
    </row>
    <row r="12" spans="1:8">
      <c r="A12">
        <v>0</v>
      </c>
      <c r="B12">
        <v>1.2003043835553278E-17</v>
      </c>
      <c r="C12">
        <v>-3.7148600000000004E-3</v>
      </c>
      <c r="D12">
        <v>180</v>
      </c>
      <c r="E12">
        <v>1.0413E-3</v>
      </c>
      <c r="F12">
        <v>0</v>
      </c>
      <c r="G12">
        <v>80</v>
      </c>
    </row>
    <row r="13" spans="1:8">
      <c r="A13">
        <v>0</v>
      </c>
      <c r="B13">
        <v>1.8691850726185026E-17</v>
      </c>
      <c r="C13">
        <v>-5.7850000000000002E-3</v>
      </c>
      <c r="D13">
        <v>180</v>
      </c>
      <c r="E13">
        <v>2.0701399999999998E-3</v>
      </c>
      <c r="F13">
        <v>0</v>
      </c>
      <c r="G13">
        <v>90</v>
      </c>
    </row>
    <row r="14" spans="1:8">
      <c r="A14">
        <v>0</v>
      </c>
      <c r="B14">
        <v>2.5518689745256296E-17</v>
      </c>
      <c r="C14">
        <v>-7.8978599999999996E-3</v>
      </c>
      <c r="D14">
        <v>180</v>
      </c>
      <c r="E14">
        <v>2.1128599999999998E-3</v>
      </c>
      <c r="F14">
        <v>0</v>
      </c>
      <c r="G14">
        <v>100</v>
      </c>
    </row>
    <row r="15" spans="1:8">
      <c r="A15">
        <v>0</v>
      </c>
      <c r="B15">
        <v>3.0528105739873884E-17</v>
      </c>
      <c r="C15">
        <v>-9.4482400000000001E-3</v>
      </c>
      <c r="D15">
        <v>180</v>
      </c>
      <c r="E15">
        <v>1.5503799999999999E-3</v>
      </c>
      <c r="F15">
        <v>0</v>
      </c>
      <c r="G15">
        <v>100</v>
      </c>
    </row>
    <row r="16" spans="1:8">
      <c r="A16">
        <v>0</v>
      </c>
      <c r="B16">
        <v>4.1139325613661998E-17</v>
      </c>
      <c r="C16">
        <v>-1.273234E-2</v>
      </c>
      <c r="D16">
        <v>180</v>
      </c>
      <c r="E16">
        <v>3.2840999999999999E-3</v>
      </c>
      <c r="F16">
        <v>0</v>
      </c>
      <c r="G16">
        <v>100</v>
      </c>
    </row>
    <row r="17" spans="1:8">
      <c r="A17">
        <v>0</v>
      </c>
      <c r="B17">
        <v>3.4535063401699457E-16</v>
      </c>
      <c r="C17">
        <v>-0.10688365999999999</v>
      </c>
      <c r="D17">
        <v>180</v>
      </c>
      <c r="E17">
        <v>9.4151319999999997E-2</v>
      </c>
      <c r="F17">
        <v>0</v>
      </c>
      <c r="G17">
        <v>100</v>
      </c>
    </row>
    <row r="18" spans="1:8">
      <c r="A18">
        <v>0</v>
      </c>
      <c r="B18">
        <v>1.0241696363278151E-15</v>
      </c>
      <c r="C18">
        <v>-0.31697350000000002</v>
      </c>
      <c r="D18">
        <v>180</v>
      </c>
      <c r="E18">
        <v>0.21008984</v>
      </c>
      <c r="F18">
        <v>0</v>
      </c>
      <c r="G18">
        <v>100</v>
      </c>
    </row>
    <row r="19" spans="1:8">
      <c r="A19">
        <v>0</v>
      </c>
      <c r="B19">
        <v>2.5572924869055658E-15</v>
      </c>
      <c r="C19">
        <v>-0.79146453999999999</v>
      </c>
      <c r="D19">
        <v>180</v>
      </c>
      <c r="E19">
        <v>0.47449103999999998</v>
      </c>
      <c r="F19">
        <v>0</v>
      </c>
      <c r="G19">
        <v>100</v>
      </c>
      <c r="H19">
        <v>19</v>
      </c>
    </row>
    <row r="20" spans="1:8">
      <c r="A20">
        <v>0</v>
      </c>
      <c r="B20">
        <v>-1.4491935498845958E-5</v>
      </c>
      <c r="C20">
        <v>-0.80942829220592749</v>
      </c>
      <c r="D20">
        <v>-179.9075553312517</v>
      </c>
      <c r="E20">
        <v>1.7963759999999999E-2</v>
      </c>
      <c r="F20">
        <v>2.52</v>
      </c>
      <c r="G20">
        <v>100</v>
      </c>
      <c r="H20">
        <v>20</v>
      </c>
    </row>
    <row r="21" spans="1:8">
      <c r="A21">
        <v>0</v>
      </c>
      <c r="B21">
        <v>-1.2032438074806057E-4</v>
      </c>
      <c r="C21">
        <v>-0.83590911565870818</v>
      </c>
      <c r="D21">
        <v>-179.63447400368159</v>
      </c>
      <c r="E21">
        <v>2.6481059999999997E-2</v>
      </c>
      <c r="F21">
        <v>5.04</v>
      </c>
      <c r="G21">
        <v>100</v>
      </c>
      <c r="H21">
        <v>21</v>
      </c>
    </row>
    <row r="22" spans="1:8">
      <c r="A22">
        <v>0</v>
      </c>
      <c r="B22">
        <v>-2.5986370236516678E-4</v>
      </c>
      <c r="C22">
        <v>-0.85216880377077131</v>
      </c>
      <c r="D22">
        <v>-179.38213469354147</v>
      </c>
      <c r="E22">
        <v>1.6260299999999998E-2</v>
      </c>
      <c r="F22">
        <v>7.5600000000000005</v>
      </c>
      <c r="G22">
        <v>100</v>
      </c>
      <c r="H22">
        <v>22</v>
      </c>
    </row>
    <row r="23" spans="1:8">
      <c r="A23">
        <v>0</v>
      </c>
      <c r="B23">
        <v>-6.9171559710565211E-4</v>
      </c>
      <c r="C23">
        <v>-0.87957550866483225</v>
      </c>
      <c r="D23">
        <v>-178.81237693987453</v>
      </c>
      <c r="E23">
        <v>2.7410219999999999E-2</v>
      </c>
      <c r="F23">
        <v>10.08</v>
      </c>
      <c r="G23">
        <v>100</v>
      </c>
      <c r="H23">
        <v>23</v>
      </c>
    </row>
    <row r="24" spans="1:8">
      <c r="A24">
        <v>0</v>
      </c>
      <c r="B24">
        <v>-1.2673031429824922E-3</v>
      </c>
      <c r="C24">
        <v>-0.90186782291558532</v>
      </c>
      <c r="D24">
        <v>-178.22952629123984</v>
      </c>
      <c r="E24">
        <v>2.2299839999999998E-2</v>
      </c>
      <c r="F24">
        <v>12.6</v>
      </c>
      <c r="G24">
        <v>100</v>
      </c>
      <c r="H24">
        <v>24</v>
      </c>
    </row>
    <row r="25" spans="1:8">
      <c r="A25">
        <v>0</v>
      </c>
      <c r="B25">
        <v>-2.1744932267228037E-3</v>
      </c>
      <c r="C25">
        <v>-0.92600876470047</v>
      </c>
      <c r="D25">
        <v>-177.4662740808723</v>
      </c>
      <c r="E25">
        <v>2.4158159999999998E-2</v>
      </c>
      <c r="F25">
        <v>15.120000000000001</v>
      </c>
      <c r="G25">
        <v>100</v>
      </c>
      <c r="H25">
        <v>25</v>
      </c>
    </row>
    <row r="26" spans="1:8">
      <c r="A26">
        <v>0</v>
      </c>
      <c r="B26">
        <v>-5.3760173200630102E-3</v>
      </c>
      <c r="C26">
        <v>-0.978250921723547</v>
      </c>
      <c r="D26">
        <v>-175.52005287875511</v>
      </c>
      <c r="E26">
        <v>5.2342679999999996E-2</v>
      </c>
      <c r="F26">
        <v>17.64</v>
      </c>
      <c r="G26">
        <v>100</v>
      </c>
    </row>
    <row r="27" spans="1:8">
      <c r="A27">
        <v>0</v>
      </c>
      <c r="B27">
        <v>-1.0349913275575056E-2</v>
      </c>
      <c r="C27">
        <v>-1.030354214191181</v>
      </c>
      <c r="D27">
        <v>-173.57383167663795</v>
      </c>
      <c r="E27">
        <v>5.2342679999999996E-2</v>
      </c>
      <c r="F27">
        <v>17.64</v>
      </c>
      <c r="G27">
        <v>100</v>
      </c>
    </row>
    <row r="28" spans="1:8">
      <c r="A28">
        <v>0</v>
      </c>
      <c r="B28">
        <v>-1.5722032259689451E-2</v>
      </c>
      <c r="C28">
        <v>-1.072755240983531</v>
      </c>
      <c r="D28">
        <v>-171.98460962993872</v>
      </c>
      <c r="E28">
        <v>4.2741359999999999E-2</v>
      </c>
      <c r="F28">
        <v>17.64</v>
      </c>
      <c r="G28">
        <v>100</v>
      </c>
      <c r="H28">
        <v>27</v>
      </c>
    </row>
    <row r="29" spans="1:8">
      <c r="A29">
        <v>0</v>
      </c>
      <c r="B29">
        <v>-2.7554638212066142E-2</v>
      </c>
      <c r="C29">
        <v>-1.1444858703700749</v>
      </c>
      <c r="D29">
        <v>-169.28120473528188</v>
      </c>
      <c r="E29">
        <v>7.270676999999999E-2</v>
      </c>
      <c r="F29">
        <v>17.64</v>
      </c>
      <c r="G29">
        <v>100</v>
      </c>
    </row>
    <row r="30" spans="1:8">
      <c r="A30">
        <v>0</v>
      </c>
      <c r="B30">
        <v>-4.2757308676001665E-2</v>
      </c>
      <c r="C30">
        <v>-1.2155785744020564</v>
      </c>
      <c r="D30">
        <v>-166.57779984062503</v>
      </c>
      <c r="E30">
        <v>7.270676999999999E-2</v>
      </c>
      <c r="F30">
        <v>17.64</v>
      </c>
      <c r="G30">
        <v>100</v>
      </c>
    </row>
    <row r="31" spans="1:8">
      <c r="A31">
        <v>0</v>
      </c>
      <c r="B31">
        <v>-6.8638913833931295E-2</v>
      </c>
      <c r="C31">
        <v>-1.310500490504628</v>
      </c>
      <c r="D31">
        <v>-162.91891837577197</v>
      </c>
      <c r="E31">
        <v>9.8403851249999993E-2</v>
      </c>
      <c r="F31">
        <v>17.64</v>
      </c>
      <c r="G31">
        <v>100</v>
      </c>
    </row>
    <row r="32" spans="1:8">
      <c r="A32">
        <v>0</v>
      </c>
      <c r="B32">
        <v>-0.10052531351389625</v>
      </c>
      <c r="C32">
        <v>-1.40357726074073</v>
      </c>
      <c r="D32">
        <v>-159.26003691091893</v>
      </c>
      <c r="E32">
        <v>9.8403851249999993E-2</v>
      </c>
      <c r="F32">
        <v>17.64</v>
      </c>
      <c r="G32">
        <v>100</v>
      </c>
    </row>
    <row r="33" spans="1:7">
      <c r="A33">
        <v>0</v>
      </c>
      <c r="B33">
        <v>-0.13828651790660593</v>
      </c>
      <c r="C33">
        <v>-1.4944294433504319</v>
      </c>
      <c r="D33">
        <v>-155.60115544606586</v>
      </c>
      <c r="E33">
        <v>9.8403851249999993E-2</v>
      </c>
      <c r="F33">
        <v>17.64</v>
      </c>
      <c r="G33">
        <v>100</v>
      </c>
    </row>
    <row r="34" spans="1:7">
      <c r="A34">
        <v>0</v>
      </c>
      <c r="B34">
        <v>-0.18176858765838952</v>
      </c>
      <c r="C34">
        <v>-1.5826866654471852</v>
      </c>
      <c r="D34">
        <v>-151.94227398121279</v>
      </c>
      <c r="E34">
        <v>9.8403851249999993E-2</v>
      </c>
      <c r="F34">
        <v>17.64</v>
      </c>
      <c r="G34">
        <v>100</v>
      </c>
    </row>
    <row r="35" spans="1:7">
      <c r="A35">
        <v>0</v>
      </c>
      <c r="B35">
        <v>-0.2307942614286336</v>
      </c>
      <c r="C35">
        <v>-1.6679891328998224</v>
      </c>
      <c r="D35">
        <v>-148.28339251635973</v>
      </c>
      <c r="E35">
        <v>9.8403851249999993E-2</v>
      </c>
      <c r="F35">
        <v>17.64</v>
      </c>
      <c r="G35">
        <v>100</v>
      </c>
    </row>
    <row r="36" spans="1:7">
      <c r="A36">
        <v>0</v>
      </c>
      <c r="B36">
        <v>-0.28516367852288155</v>
      </c>
      <c r="C36">
        <v>-1.7499890970886336</v>
      </c>
      <c r="D36">
        <v>-144.62451105150666</v>
      </c>
      <c r="E36">
        <v>9.8403851249999993E-2</v>
      </c>
      <c r="F36">
        <v>17.64</v>
      </c>
      <c r="G36">
        <v>100</v>
      </c>
    </row>
    <row r="37" spans="1:7">
      <c r="A37">
        <v>0</v>
      </c>
      <c r="B37">
        <v>-0.34465519365567376</v>
      </c>
      <c r="C37">
        <v>-1.8283522725560646</v>
      </c>
      <c r="D37">
        <v>-140.96562958665362</v>
      </c>
      <c r="E37">
        <v>9.8403851249999993E-2</v>
      </c>
      <c r="F37">
        <v>17.64</v>
      </c>
      <c r="G37">
        <v>100</v>
      </c>
    </row>
    <row r="38" spans="1:7">
      <c r="A38">
        <v>0</v>
      </c>
      <c r="B38">
        <v>-0.40902628052162088</v>
      </c>
      <c r="C38">
        <v>-1.9027591997727644</v>
      </c>
      <c r="D38">
        <v>-137.30674812180055</v>
      </c>
      <c r="E38">
        <v>9.8403851249999993E-2</v>
      </c>
      <c r="F38">
        <v>17.64</v>
      </c>
      <c r="G38">
        <v>100</v>
      </c>
    </row>
    <row r="39" spans="1:7">
      <c r="A39">
        <v>0</v>
      </c>
      <c r="B39">
        <v>-0.47801452049116505</v>
      </c>
      <c r="C39">
        <v>-1.9729065474634593</v>
      </c>
      <c r="D39">
        <v>-133.64786665694749</v>
      </c>
      <c r="E39">
        <v>9.8403851249999993E-2</v>
      </c>
      <c r="F39">
        <v>17.64</v>
      </c>
      <c r="G39">
        <v>100</v>
      </c>
    </row>
    <row r="40" spans="1:7">
      <c r="A40">
        <v>0</v>
      </c>
      <c r="B40">
        <v>-0.5513386724004562</v>
      </c>
      <c r="C40">
        <v>-2.038508349183517</v>
      </c>
      <c r="D40">
        <v>-129.98898519209442</v>
      </c>
      <c r="E40">
        <v>9.8403851249999993E-2</v>
      </c>
      <c r="F40">
        <v>17.64</v>
      </c>
      <c r="G40">
        <v>100</v>
      </c>
    </row>
    <row r="41" spans="1:7">
      <c r="A41">
        <v>0</v>
      </c>
      <c r="B41">
        <v>-0.62869981907418515</v>
      </c>
      <c r="C41">
        <v>-2.0992971691051134</v>
      </c>
      <c r="D41">
        <v>-126.33010372724138</v>
      </c>
      <c r="E41">
        <v>9.8403851249999993E-2</v>
      </c>
      <c r="F41">
        <v>17.64</v>
      </c>
      <c r="G41">
        <v>100</v>
      </c>
    </row>
    <row r="42" spans="1:7">
      <c r="A42">
        <v>0</v>
      </c>
      <c r="B42">
        <v>-0.70978258590739252</v>
      </c>
      <c r="C42">
        <v>-2.1550251922604904</v>
      </c>
      <c r="D42">
        <v>-122.67122226238834</v>
      </c>
      <c r="E42">
        <v>9.8403851249999993E-2</v>
      </c>
      <c r="F42">
        <v>17.64</v>
      </c>
      <c r="G42">
        <v>100</v>
      </c>
    </row>
    <row r="43" spans="1:7">
      <c r="A43">
        <v>0</v>
      </c>
      <c r="B43">
        <v>-0.79425642653851902</v>
      </c>
      <c r="C43">
        <v>-2.2054652347977597</v>
      </c>
      <c r="D43">
        <v>-119.01234079753533</v>
      </c>
      <c r="E43">
        <v>9.8403851249999993E-2</v>
      </c>
      <c r="F43">
        <v>17.64</v>
      </c>
      <c r="G43">
        <v>100</v>
      </c>
    </row>
    <row r="44" spans="1:7">
      <c r="A44">
        <v>0</v>
      </c>
      <c r="B44">
        <v>-0.88177697037245417</v>
      </c>
      <c r="C44">
        <v>-2.250411670130795</v>
      </c>
      <c r="D44">
        <v>-115.35345933268229</v>
      </c>
      <c r="E44">
        <v>9.8403851249999993E-2</v>
      </c>
      <c r="F44">
        <v>17.64</v>
      </c>
      <c r="G44">
        <v>100</v>
      </c>
    </row>
    <row r="45" spans="1:7">
      <c r="A45">
        <v>0</v>
      </c>
      <c r="B45">
        <v>-0.97198742646019753</v>
      </c>
      <c r="C45">
        <v>-2.289681267207615</v>
      </c>
      <c r="D45">
        <v>-111.69457786782925</v>
      </c>
      <c r="E45">
        <v>9.8403851249999993E-2</v>
      </c>
      <c r="F45">
        <v>17.64</v>
      </c>
      <c r="G45">
        <v>100</v>
      </c>
    </row>
    <row r="46" spans="1:7">
      <c r="A46">
        <v>0</v>
      </c>
      <c r="B46">
        <v>-1.0645200380120019</v>
      </c>
      <c r="C46">
        <v>-2.3231139374799303</v>
      </c>
      <c r="D46">
        <v>-108.03569640297621</v>
      </c>
      <c r="E46">
        <v>9.8403851249999993E-2</v>
      </c>
      <c r="F46">
        <v>17.64</v>
      </c>
      <c r="G46">
        <v>100</v>
      </c>
    </row>
    <row r="47" spans="1:7">
      <c r="A47">
        <v>0</v>
      </c>
      <c r="B47">
        <v>-1.1589975816144513</v>
      </c>
      <c r="C47">
        <v>-2.3505733875287156</v>
      </c>
      <c r="D47">
        <v>-104.37681493812318</v>
      </c>
      <c r="E47">
        <v>9.8403851249999993E-2</v>
      </c>
      <c r="F47">
        <v>17.64</v>
      </c>
      <c r="G47">
        <v>100</v>
      </c>
    </row>
    <row r="48" spans="1:7">
      <c r="A48">
        <v>0</v>
      </c>
      <c r="B48">
        <v>-1.2550349050396861</v>
      </c>
      <c r="C48">
        <v>-2.371947674685281</v>
      </c>
      <c r="D48">
        <v>-100.71793347327014</v>
      </c>
      <c r="E48">
        <v>9.8403851249999993E-2</v>
      </c>
      <c r="F48">
        <v>17.64</v>
      </c>
      <c r="G48">
        <v>100</v>
      </c>
    </row>
    <row r="49" spans="1:8">
      <c r="A49">
        <v>0</v>
      </c>
      <c r="B49">
        <v>-1.3522404973776578</v>
      </c>
      <c r="C49">
        <v>-2.3871496633827674</v>
      </c>
      <c r="D49">
        <v>-97.059052008417098</v>
      </c>
      <c r="E49">
        <v>9.8403851249999993E-2</v>
      </c>
      <c r="F49">
        <v>17.64</v>
      </c>
      <c r="G49">
        <v>100</v>
      </c>
    </row>
    <row r="50" spans="1:8">
      <c r="A50">
        <v>0</v>
      </c>
      <c r="B50">
        <v>-1.4502180850905306</v>
      </c>
      <c r="C50">
        <v>-2.3961173803776772</v>
      </c>
      <c r="D50">
        <v>-93.400170543564059</v>
      </c>
      <c r="E50">
        <v>9.8403851249999993E-2</v>
      </c>
      <c r="F50">
        <v>17.64</v>
      </c>
      <c r="G50">
        <v>100</v>
      </c>
    </row>
    <row r="51" spans="1:8">
      <c r="A51">
        <v>0</v>
      </c>
      <c r="B51">
        <v>-1.5485682474826654</v>
      </c>
      <c r="C51">
        <v>-2.3988142673933268</v>
      </c>
      <c r="D51">
        <v>-89.74128907871102</v>
      </c>
      <c r="E51">
        <v>9.8403851249999993E-2</v>
      </c>
      <c r="F51">
        <v>17.64</v>
      </c>
      <c r="G51">
        <v>100</v>
      </c>
    </row>
    <row r="52" spans="1:8">
      <c r="A52">
        <v>0</v>
      </c>
      <c r="B52">
        <v>-1.646890045000478</v>
      </c>
      <c r="C52">
        <v>-2.3952293301552809</v>
      </c>
      <c r="D52">
        <v>-86.082407613857981</v>
      </c>
      <c r="E52">
        <v>9.8403851249999993E-2</v>
      </c>
      <c r="F52">
        <v>17.64</v>
      </c>
      <c r="G52">
        <v>100</v>
      </c>
    </row>
    <row r="53" spans="1:8">
      <c r="A53">
        <v>0</v>
      </c>
      <c r="B53">
        <v>-1.744782653724154</v>
      </c>
      <c r="C53">
        <v>-2.385377183211201</v>
      </c>
      <c r="D53">
        <v>-82.423526149004942</v>
      </c>
      <c r="E53">
        <v>9.8403851249999993E-2</v>
      </c>
      <c r="F53">
        <v>17.64</v>
      </c>
      <c r="G53">
        <v>100</v>
      </c>
    </row>
    <row r="54" spans="1:8">
      <c r="A54">
        <v>0</v>
      </c>
      <c r="B54">
        <v>-1.8418469993879654</v>
      </c>
      <c r="C54">
        <v>-2.3692979903523974</v>
      </c>
      <c r="D54">
        <v>-78.764644684151904</v>
      </c>
      <c r="E54">
        <v>9.8403851249999993E-2</v>
      </c>
      <c r="F54">
        <v>17.64</v>
      </c>
      <c r="G54">
        <v>100</v>
      </c>
    </row>
    <row r="55" spans="1:8">
      <c r="A55">
        <v>0</v>
      </c>
      <c r="B55">
        <v>-1.9376873842678533</v>
      </c>
      <c r="C55">
        <v>-2.3470573008799587</v>
      </c>
      <c r="D55">
        <v>-75.105763219298865</v>
      </c>
      <c r="E55">
        <v>9.8403851249999993E-2</v>
      </c>
      <c r="F55">
        <v>17.64</v>
      </c>
      <c r="G55">
        <v>100</v>
      </c>
    </row>
    <row r="56" spans="1:8">
      <c r="A56">
        <v>0</v>
      </c>
      <c r="B56">
        <v>-2.0319131003040192</v>
      </c>
      <c r="C56">
        <v>-2.3187457823829525</v>
      </c>
      <c r="D56">
        <v>-71.446881754445826</v>
      </c>
      <c r="E56">
        <v>9.8403851249999993E-2</v>
      </c>
      <c r="F56">
        <v>17.64</v>
      </c>
      <c r="G56">
        <v>100</v>
      </c>
    </row>
    <row r="57" spans="1:8">
      <c r="A57">
        <v>0</v>
      </c>
      <c r="B57">
        <v>-2.1241400218823836</v>
      </c>
      <c r="C57">
        <v>-2.2844788511180627</v>
      </c>
      <c r="D57">
        <v>-67.788000289592787</v>
      </c>
      <c r="E57">
        <v>9.8403851249999993E-2</v>
      </c>
      <c r="F57">
        <v>17.64</v>
      </c>
      <c r="G57">
        <v>100</v>
      </c>
    </row>
    <row r="58" spans="1:8">
      <c r="A58">
        <v>0</v>
      </c>
      <c r="B58">
        <v>-2.2139921717816926</v>
      </c>
      <c r="C58">
        <v>-2.2443962014974774</v>
      </c>
      <c r="D58">
        <v>-64.129118824739805</v>
      </c>
      <c r="E58">
        <v>9.8403851249999993E-2</v>
      </c>
      <c r="F58">
        <v>17.64</v>
      </c>
      <c r="G58">
        <v>100</v>
      </c>
    </row>
    <row r="59" spans="1:8">
      <c r="A59">
        <v>0</v>
      </c>
      <c r="B59">
        <v>-2.3011032539024479</v>
      </c>
      <c r="C59">
        <v>-2.1986612366031486</v>
      </c>
      <c r="D59">
        <v>-60.470237359886767</v>
      </c>
      <c r="E59">
        <v>9.8403851249999993E-2</v>
      </c>
      <c r="F59">
        <v>17.64</v>
      </c>
      <c r="G59">
        <v>100</v>
      </c>
    </row>
    <row r="60" spans="1:8">
      <c r="A60">
        <v>0</v>
      </c>
      <c r="B60">
        <v>-2.3851181465292584</v>
      </c>
      <c r="C60">
        <v>-2.1474604020490125</v>
      </c>
      <c r="D60">
        <v>-56.811355895033728</v>
      </c>
      <c r="E60">
        <v>9.8403851249999993E-2</v>
      </c>
      <c r="F60">
        <v>17.64</v>
      </c>
      <c r="G60">
        <v>100</v>
      </c>
    </row>
    <row r="61" spans="1:8">
      <c r="A61">
        <v>0</v>
      </c>
      <c r="B61">
        <v>-2.4656943500390942</v>
      </c>
      <c r="C61">
        <v>-2.0910024259067876</v>
      </c>
      <c r="D61">
        <v>-53.152474430180689</v>
      </c>
      <c r="E61">
        <v>9.8403851249999993E-2</v>
      </c>
      <c r="F61">
        <v>17.64</v>
      </c>
      <c r="G61">
        <v>100</v>
      </c>
    </row>
    <row r="62" spans="1:8">
      <c r="A62">
        <v>0</v>
      </c>
      <c r="B62">
        <v>-2.542503383153643</v>
      </c>
      <c r="C62">
        <v>-2.0295174677939078</v>
      </c>
      <c r="D62">
        <v>-49.49359296532765</v>
      </c>
      <c r="E62">
        <v>9.8403851249999993E-2</v>
      </c>
      <c r="F62">
        <v>17.64</v>
      </c>
      <c r="G62">
        <v>100</v>
      </c>
      <c r="H62">
        <v>29</v>
      </c>
    </row>
    <row r="63" spans="1:8">
      <c r="A63">
        <v>0</v>
      </c>
      <c r="B63">
        <v>-2.6408206423361209</v>
      </c>
      <c r="C63">
        <v>-1.9455275798760434</v>
      </c>
      <c r="D63">
        <v>-49.49359296532765</v>
      </c>
      <c r="E63">
        <v>0.12930809999999998</v>
      </c>
      <c r="F63">
        <v>0</v>
      </c>
      <c r="G63">
        <v>100</v>
      </c>
    </row>
    <row r="64" spans="1:8">
      <c r="A64">
        <v>0</v>
      </c>
      <c r="B64">
        <v>-2.7418460415918888</v>
      </c>
      <c r="C64">
        <v>-1.8592241980394832</v>
      </c>
      <c r="D64">
        <v>-49.49359296532765</v>
      </c>
      <c r="E64">
        <v>0.13286988</v>
      </c>
      <c r="F64">
        <v>0</v>
      </c>
      <c r="G64">
        <v>100</v>
      </c>
      <c r="H64">
        <v>31</v>
      </c>
    </row>
    <row r="65" spans="1:7">
      <c r="A65">
        <v>0</v>
      </c>
      <c r="B65">
        <v>-2.7791712765150569</v>
      </c>
      <c r="C65">
        <v>-1.8273382166383298</v>
      </c>
      <c r="D65">
        <v>-49.49359296532765</v>
      </c>
      <c r="E65">
        <v>4.9090619999999995E-2</v>
      </c>
      <c r="F65">
        <v>0</v>
      </c>
      <c r="G65">
        <v>100</v>
      </c>
    </row>
    <row r="66" spans="1:7">
      <c r="A66">
        <v>0</v>
      </c>
      <c r="B66">
        <v>-3.1261664415578863</v>
      </c>
      <c r="C66">
        <v>-1.5309092349689324</v>
      </c>
      <c r="D66">
        <v>-49.49359296532765</v>
      </c>
      <c r="E66">
        <v>0.45637242</v>
      </c>
      <c r="F66">
        <v>0</v>
      </c>
      <c r="G66">
        <v>100</v>
      </c>
    </row>
    <row r="67" spans="1:7">
      <c r="A67">
        <v>0</v>
      </c>
      <c r="B67">
        <v>-3.1261664415578863</v>
      </c>
      <c r="C67">
        <v>-1.5309092349689324</v>
      </c>
      <c r="D67">
        <v>-49.49359296532765</v>
      </c>
      <c r="E67">
        <v>0</v>
      </c>
      <c r="F67">
        <v>0</v>
      </c>
      <c r="G67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topLeftCell="A3" workbookViewId="0">
      <selection activeCell="C18" sqref="C18"/>
    </sheetView>
  </sheetViews>
  <sheetFormatPr defaultRowHeight="14.5"/>
  <cols>
    <col min="2" max="2" width="36.54296875" customWidth="1"/>
    <col min="3" max="3" width="12.54296875" customWidth="1"/>
  </cols>
  <sheetData>
    <row r="1" spans="2:3" ht="18.5">
      <c r="B1" s="14" t="s">
        <v>112</v>
      </c>
    </row>
    <row r="3" spans="2:3">
      <c r="B3" s="22" t="s">
        <v>113</v>
      </c>
      <c r="C3" s="25" t="s">
        <v>114</v>
      </c>
    </row>
    <row r="5" spans="2:3">
      <c r="B5" s="26" t="s">
        <v>115</v>
      </c>
    </row>
    <row r="6" spans="2:3">
      <c r="B6" t="s">
        <v>116</v>
      </c>
      <c r="C6">
        <v>-4800</v>
      </c>
    </row>
    <row r="7" spans="2:3">
      <c r="B7" t="s">
        <v>117</v>
      </c>
      <c r="C7">
        <v>-4020</v>
      </c>
    </row>
    <row r="8" spans="2:3">
      <c r="B8" t="s">
        <v>118</v>
      </c>
      <c r="C8">
        <v>-3240</v>
      </c>
    </row>
    <row r="9" spans="2:3">
      <c r="B9" t="s">
        <v>119</v>
      </c>
      <c r="C9">
        <v>-2520</v>
      </c>
    </row>
    <row r="10" spans="2:3">
      <c r="B10" t="s">
        <v>120</v>
      </c>
      <c r="C10">
        <v>-1920</v>
      </c>
    </row>
    <row r="11" spans="2:3">
      <c r="B11" t="s">
        <v>121</v>
      </c>
      <c r="C11">
        <v>-1440</v>
      </c>
    </row>
    <row r="12" spans="2:3">
      <c r="B12" t="s">
        <v>122</v>
      </c>
      <c r="C12">
        <v>-1020</v>
      </c>
    </row>
    <row r="13" spans="2:3">
      <c r="B13" t="s">
        <v>123</v>
      </c>
      <c r="C13">
        <v>-840</v>
      </c>
    </row>
    <row r="14" spans="2:3">
      <c r="B14" t="s">
        <v>124</v>
      </c>
      <c r="C14">
        <v>-660</v>
      </c>
    </row>
    <row r="15" spans="2:3">
      <c r="B15" t="s">
        <v>125</v>
      </c>
      <c r="C15">
        <v>-480</v>
      </c>
    </row>
    <row r="16" spans="2:3">
      <c r="B16" t="s">
        <v>126</v>
      </c>
      <c r="C16">
        <v>-300</v>
      </c>
    </row>
    <row r="17" spans="2:3">
      <c r="B17" t="s">
        <v>127</v>
      </c>
      <c r="C17">
        <v>-120</v>
      </c>
    </row>
    <row r="18" spans="2:3">
      <c r="B18" t="s">
        <v>128</v>
      </c>
      <c r="C18">
        <v>60</v>
      </c>
    </row>
    <row r="19" spans="2:3">
      <c r="B19" t="s">
        <v>129</v>
      </c>
      <c r="C19">
        <v>240</v>
      </c>
    </row>
    <row r="20" spans="2:3">
      <c r="B20" t="s">
        <v>130</v>
      </c>
      <c r="C20">
        <v>360</v>
      </c>
    </row>
    <row r="21" spans="2:3">
      <c r="B21" t="s">
        <v>131</v>
      </c>
      <c r="C21">
        <v>540</v>
      </c>
    </row>
    <row r="22" spans="2:3">
      <c r="B22" t="s">
        <v>132</v>
      </c>
      <c r="C22">
        <v>660</v>
      </c>
    </row>
    <row r="23" spans="2:3">
      <c r="B23" t="s">
        <v>133</v>
      </c>
      <c r="C23">
        <v>720</v>
      </c>
    </row>
    <row r="24" spans="2:3">
      <c r="B24" t="s">
        <v>134</v>
      </c>
      <c r="C24">
        <v>780</v>
      </c>
    </row>
    <row r="25" spans="2:3">
      <c r="B25" t="s">
        <v>135</v>
      </c>
      <c r="C25">
        <v>900</v>
      </c>
    </row>
    <row r="26" spans="2:3">
      <c r="B26" t="s">
        <v>136</v>
      </c>
      <c r="C26">
        <v>1020</v>
      </c>
    </row>
    <row r="27" spans="2:3">
      <c r="B27" t="s">
        <v>137</v>
      </c>
      <c r="C27">
        <v>1080</v>
      </c>
    </row>
    <row r="28" spans="2:3">
      <c r="B28" t="s">
        <v>138</v>
      </c>
      <c r="C28">
        <v>1140</v>
      </c>
    </row>
    <row r="29" spans="2:3">
      <c r="B29" t="s">
        <v>139</v>
      </c>
      <c r="C29">
        <v>1260</v>
      </c>
    </row>
    <row r="30" spans="2:3">
      <c r="B30" t="s">
        <v>140</v>
      </c>
      <c r="C30">
        <v>1380</v>
      </c>
    </row>
    <row r="31" spans="2:3">
      <c r="B31" t="s">
        <v>141</v>
      </c>
      <c r="C31">
        <v>1440</v>
      </c>
    </row>
    <row r="32" spans="2:3">
      <c r="B32" t="s">
        <v>142</v>
      </c>
      <c r="C32">
        <v>1500</v>
      </c>
    </row>
    <row r="33" spans="2:3">
      <c r="B33" t="s">
        <v>143</v>
      </c>
      <c r="C33">
        <v>1560</v>
      </c>
    </row>
    <row r="34" spans="2:3">
      <c r="B34" t="s">
        <v>144</v>
      </c>
      <c r="C34">
        <v>1620</v>
      </c>
    </row>
    <row r="35" spans="2:3">
      <c r="B35" t="s">
        <v>145</v>
      </c>
      <c r="C35">
        <v>1680</v>
      </c>
    </row>
    <row r="36" spans="2:3">
      <c r="B36" t="s">
        <v>146</v>
      </c>
      <c r="C36">
        <v>1800</v>
      </c>
    </row>
    <row r="37" spans="2:3">
      <c r="B37" t="s">
        <v>147</v>
      </c>
      <c r="C37">
        <v>1860</v>
      </c>
    </row>
    <row r="38" spans="2:3">
      <c r="B38" t="s">
        <v>148</v>
      </c>
      <c r="C38">
        <v>1920</v>
      </c>
    </row>
    <row r="39" spans="2:3">
      <c r="B39" t="s">
        <v>149</v>
      </c>
      <c r="C39">
        <v>1980</v>
      </c>
    </row>
    <row r="40" spans="2:3">
      <c r="B40" t="s">
        <v>150</v>
      </c>
      <c r="C40">
        <v>2040</v>
      </c>
    </row>
    <row r="41" spans="2:3">
      <c r="B41" t="s">
        <v>151</v>
      </c>
      <c r="C41">
        <v>2100</v>
      </c>
    </row>
    <row r="42" spans="2:3">
      <c r="B42" t="s">
        <v>152</v>
      </c>
      <c r="C42">
        <v>2160</v>
      </c>
    </row>
    <row r="43" spans="2:3">
      <c r="B43" t="s">
        <v>153</v>
      </c>
      <c r="C43">
        <v>2220</v>
      </c>
    </row>
    <row r="44" spans="2:3">
      <c r="B44" t="s">
        <v>154</v>
      </c>
      <c r="C44">
        <v>2280</v>
      </c>
    </row>
    <row r="45" spans="2:3">
      <c r="B45" t="s">
        <v>155</v>
      </c>
      <c r="C45">
        <v>2340</v>
      </c>
    </row>
    <row r="46" spans="2:3">
      <c r="B46" t="s">
        <v>156</v>
      </c>
      <c r="C46">
        <v>2460</v>
      </c>
    </row>
    <row r="47" spans="2:3">
      <c r="B47" t="s">
        <v>157</v>
      </c>
      <c r="C47">
        <v>2520</v>
      </c>
    </row>
    <row r="48" spans="2:3">
      <c r="B48" t="s">
        <v>158</v>
      </c>
      <c r="C48">
        <v>2580</v>
      </c>
    </row>
    <row r="49" spans="2:3">
      <c r="B49" t="s">
        <v>159</v>
      </c>
      <c r="C49">
        <v>2640</v>
      </c>
    </row>
    <row r="50" spans="2:3">
      <c r="B50" t="s">
        <v>160</v>
      </c>
      <c r="C50">
        <v>2760</v>
      </c>
    </row>
    <row r="51" spans="2:3">
      <c r="B51" t="s">
        <v>161</v>
      </c>
      <c r="C51">
        <v>2820</v>
      </c>
    </row>
    <row r="52" spans="2:3">
      <c r="B52" t="s">
        <v>162</v>
      </c>
      <c r="C52">
        <v>2940</v>
      </c>
    </row>
    <row r="53" spans="2:3">
      <c r="B53" t="s">
        <v>163</v>
      </c>
      <c r="C53">
        <v>3000</v>
      </c>
    </row>
    <row r="54" spans="2:3">
      <c r="B54" t="s">
        <v>164</v>
      </c>
      <c r="C54">
        <v>3120</v>
      </c>
    </row>
    <row r="55" spans="2:3">
      <c r="B55" t="s">
        <v>165</v>
      </c>
      <c r="C55">
        <v>3180</v>
      </c>
    </row>
    <row r="56" spans="2:3">
      <c r="B56" t="s">
        <v>166</v>
      </c>
      <c r="C56">
        <v>3300</v>
      </c>
    </row>
    <row r="58" spans="2:3">
      <c r="B58" s="26" t="s">
        <v>167</v>
      </c>
    </row>
    <row r="59" spans="2:3">
      <c r="B59" t="s">
        <v>168</v>
      </c>
      <c r="C59">
        <v>3360</v>
      </c>
    </row>
    <row r="60" spans="2:3">
      <c r="B60" t="s">
        <v>169</v>
      </c>
      <c r="C60">
        <v>3420</v>
      </c>
    </row>
    <row r="61" spans="2:3">
      <c r="B61" t="s">
        <v>170</v>
      </c>
      <c r="C61">
        <v>3480</v>
      </c>
    </row>
    <row r="62" spans="2:3">
      <c r="B62" t="s">
        <v>171</v>
      </c>
      <c r="C62">
        <v>3540</v>
      </c>
    </row>
    <row r="63" spans="2:3">
      <c r="B63" t="s">
        <v>172</v>
      </c>
      <c r="C63">
        <v>3600</v>
      </c>
    </row>
    <row r="64" spans="2:3">
      <c r="B64" t="s">
        <v>173</v>
      </c>
      <c r="C64">
        <v>3660</v>
      </c>
    </row>
    <row r="65" spans="2:3">
      <c r="B65" t="s">
        <v>174</v>
      </c>
      <c r="C65">
        <v>3720</v>
      </c>
    </row>
    <row r="66" spans="2:3">
      <c r="B66" t="s">
        <v>175</v>
      </c>
      <c r="C66">
        <v>3840</v>
      </c>
    </row>
    <row r="67" spans="2:3">
      <c r="B67" t="s">
        <v>176</v>
      </c>
      <c r="C67">
        <v>3960</v>
      </c>
    </row>
    <row r="68" spans="2:3">
      <c r="B68" t="s">
        <v>177</v>
      </c>
      <c r="C68">
        <v>4080</v>
      </c>
    </row>
    <row r="69" spans="2:3">
      <c r="B69" t="s">
        <v>178</v>
      </c>
      <c r="C69">
        <v>4260</v>
      </c>
    </row>
    <row r="70" spans="2:3">
      <c r="B70" t="s">
        <v>179</v>
      </c>
      <c r="C70">
        <v>4440</v>
      </c>
    </row>
    <row r="73" spans="2:3">
      <c r="B73" s="26" t="s">
        <v>188</v>
      </c>
    </row>
    <row r="74" spans="2:3">
      <c r="B74" t="s">
        <v>179</v>
      </c>
      <c r="C74">
        <v>-5940</v>
      </c>
    </row>
    <row r="75" spans="2:3">
      <c r="B75" t="s">
        <v>178</v>
      </c>
      <c r="C75">
        <v>-5760</v>
      </c>
    </row>
    <row r="76" spans="2:3">
      <c r="B76" t="s">
        <v>177</v>
      </c>
      <c r="C76">
        <v>-5580</v>
      </c>
    </row>
    <row r="77" spans="2:3">
      <c r="B77" t="s">
        <v>176</v>
      </c>
      <c r="C77">
        <v>-5460</v>
      </c>
    </row>
    <row r="78" spans="2:3">
      <c r="B78" t="s">
        <v>175</v>
      </c>
      <c r="C78">
        <v>-5340</v>
      </c>
    </row>
    <row r="79" spans="2:3">
      <c r="B79" t="s">
        <v>174</v>
      </c>
      <c r="C79">
        <v>-5220</v>
      </c>
    </row>
    <row r="80" spans="2:3">
      <c r="B80" t="s">
        <v>173</v>
      </c>
      <c r="C80">
        <v>-5160</v>
      </c>
    </row>
    <row r="81" spans="2:3">
      <c r="B81" t="s">
        <v>189</v>
      </c>
      <c r="C81">
        <v>-5100</v>
      </c>
    </row>
    <row r="82" spans="2:3">
      <c r="B82" t="s">
        <v>171</v>
      </c>
      <c r="C82">
        <v>-5040</v>
      </c>
    </row>
    <row r="83" spans="2:3">
      <c r="B83" t="s">
        <v>170</v>
      </c>
      <c r="C83">
        <v>-4980</v>
      </c>
    </row>
    <row r="84" spans="2:3">
      <c r="B84" t="s">
        <v>169</v>
      </c>
      <c r="C84">
        <v>-4920</v>
      </c>
    </row>
    <row r="85" spans="2:3">
      <c r="B85" t="s">
        <v>168</v>
      </c>
      <c r="C85">
        <v>-4860</v>
      </c>
    </row>
    <row r="86" spans="2:3">
      <c r="B86" t="s">
        <v>190</v>
      </c>
      <c r="C86">
        <v>-4800</v>
      </c>
    </row>
    <row r="87" spans="2:3">
      <c r="B87" t="s">
        <v>190</v>
      </c>
      <c r="C87">
        <v>-4440</v>
      </c>
    </row>
    <row r="89" spans="2:3">
      <c r="B89" s="26" t="s">
        <v>191</v>
      </c>
    </row>
    <row r="90" spans="2:3">
      <c r="B90" t="s">
        <v>165</v>
      </c>
      <c r="C90">
        <v>-4380</v>
      </c>
    </row>
    <row r="91" spans="2:3">
      <c r="B91" t="s">
        <v>164</v>
      </c>
      <c r="C91">
        <v>-4320</v>
      </c>
    </row>
    <row r="92" spans="2:3">
      <c r="B92" t="s">
        <v>163</v>
      </c>
      <c r="C92">
        <v>-4260</v>
      </c>
    </row>
    <row r="93" spans="2:3">
      <c r="B93" t="s">
        <v>162</v>
      </c>
      <c r="C93">
        <v>-4140</v>
      </c>
    </row>
    <row r="94" spans="2:3">
      <c r="B94" t="s">
        <v>161</v>
      </c>
      <c r="C94">
        <v>-4020</v>
      </c>
    </row>
    <row r="95" spans="2:3">
      <c r="B95" t="s">
        <v>160</v>
      </c>
      <c r="C95">
        <v>-3960</v>
      </c>
    </row>
    <row r="96" spans="2:3">
      <c r="B96" t="s">
        <v>159</v>
      </c>
      <c r="C96">
        <v>-3840</v>
      </c>
    </row>
    <row r="97" spans="2:3">
      <c r="B97" t="s">
        <v>192</v>
      </c>
      <c r="C97">
        <v>-3780</v>
      </c>
    </row>
    <row r="98" spans="2:3">
      <c r="B98" t="s">
        <v>157</v>
      </c>
      <c r="C98">
        <v>-3720</v>
      </c>
    </row>
    <row r="99" spans="2:3">
      <c r="B99" t="s">
        <v>156</v>
      </c>
      <c r="C99">
        <v>-3600</v>
      </c>
    </row>
    <row r="100" spans="2:3">
      <c r="B100" t="s">
        <v>155</v>
      </c>
      <c r="C100">
        <v>-3540</v>
      </c>
    </row>
    <row r="101" spans="2:3">
      <c r="B101" t="s">
        <v>154</v>
      </c>
      <c r="C101">
        <v>-3480</v>
      </c>
    </row>
    <row r="102" spans="2:3">
      <c r="B102" t="s">
        <v>153</v>
      </c>
      <c r="C102">
        <v>-3420</v>
      </c>
    </row>
    <row r="103" spans="2:3">
      <c r="B103" t="s">
        <v>152</v>
      </c>
      <c r="C103">
        <v>-3300</v>
      </c>
    </row>
    <row r="104" spans="2:3">
      <c r="B104" t="s">
        <v>151</v>
      </c>
      <c r="C104">
        <v>-3180</v>
      </c>
    </row>
    <row r="105" spans="2:3">
      <c r="B105" t="s">
        <v>150</v>
      </c>
      <c r="C105">
        <v>-3060</v>
      </c>
    </row>
    <row r="106" spans="2:3">
      <c r="B106" t="s">
        <v>148</v>
      </c>
      <c r="C106">
        <v>-3000</v>
      </c>
    </row>
    <row r="107" spans="2:3">
      <c r="B107" t="s">
        <v>147</v>
      </c>
      <c r="C107">
        <v>-2880</v>
      </c>
    </row>
    <row r="108" spans="2:3">
      <c r="B108" t="s">
        <v>146</v>
      </c>
      <c r="C108">
        <v>-2820</v>
      </c>
    </row>
    <row r="109" spans="2:3">
      <c r="B109" t="s">
        <v>145</v>
      </c>
      <c r="C109">
        <v>-2700</v>
      </c>
    </row>
    <row r="110" spans="2:3">
      <c r="B110" t="s">
        <v>144</v>
      </c>
      <c r="C110">
        <v>-2640</v>
      </c>
    </row>
    <row r="111" spans="2:3">
      <c r="B111" t="s">
        <v>143</v>
      </c>
      <c r="C111">
        <v>-2520</v>
      </c>
    </row>
    <row r="112" spans="2:3">
      <c r="B112" t="s">
        <v>142</v>
      </c>
      <c r="C112">
        <v>-2460</v>
      </c>
    </row>
    <row r="113" spans="2:3">
      <c r="B113" t="s">
        <v>141</v>
      </c>
      <c r="C113">
        <v>-2400</v>
      </c>
    </row>
    <row r="114" spans="2:3">
      <c r="B114" t="s">
        <v>140</v>
      </c>
      <c r="C114">
        <v>-2340</v>
      </c>
    </row>
    <row r="115" spans="2:3">
      <c r="B115" t="s">
        <v>139</v>
      </c>
      <c r="C115">
        <v>-2280</v>
      </c>
    </row>
    <row r="116" spans="2:3">
      <c r="B116" t="s">
        <v>138</v>
      </c>
      <c r="C116">
        <v>-2220</v>
      </c>
    </row>
    <row r="117" spans="2:3">
      <c r="B117" t="s">
        <v>137</v>
      </c>
      <c r="C117">
        <v>-2160</v>
      </c>
    </row>
    <row r="118" spans="2:3">
      <c r="B118" t="s">
        <v>136</v>
      </c>
      <c r="C118">
        <v>-2100</v>
      </c>
    </row>
    <row r="119" spans="2:3">
      <c r="B119" t="s">
        <v>135</v>
      </c>
      <c r="C119">
        <v>-2040</v>
      </c>
    </row>
    <row r="120" spans="2:3">
      <c r="B120" t="s">
        <v>134</v>
      </c>
      <c r="C120">
        <v>-1980</v>
      </c>
    </row>
    <row r="121" spans="2:3">
      <c r="B121" t="s">
        <v>133</v>
      </c>
      <c r="C121">
        <v>-1860</v>
      </c>
    </row>
    <row r="122" spans="2:3">
      <c r="B122" t="s">
        <v>132</v>
      </c>
      <c r="C122">
        <v>-1800</v>
      </c>
    </row>
    <row r="123" spans="2:3">
      <c r="B123" t="s">
        <v>131</v>
      </c>
      <c r="C123">
        <v>-1740</v>
      </c>
    </row>
    <row r="124" spans="2:3">
      <c r="B124" t="s">
        <v>130</v>
      </c>
      <c r="C124">
        <v>-1620</v>
      </c>
    </row>
    <row r="125" spans="2:3">
      <c r="B125" t="s">
        <v>129</v>
      </c>
      <c r="C125">
        <v>-1560</v>
      </c>
    </row>
    <row r="126" spans="2:3">
      <c r="B126" t="s">
        <v>128</v>
      </c>
      <c r="C126">
        <v>-1440</v>
      </c>
    </row>
    <row r="127" spans="2:3">
      <c r="B127" t="s">
        <v>127</v>
      </c>
      <c r="C127">
        <v>-1320</v>
      </c>
    </row>
    <row r="128" spans="2:3">
      <c r="B128" t="s">
        <v>126</v>
      </c>
      <c r="C128">
        <v>-1200</v>
      </c>
    </row>
    <row r="129" spans="2:3">
      <c r="B129" t="s">
        <v>125</v>
      </c>
      <c r="C129">
        <v>-1080</v>
      </c>
    </row>
    <row r="130" spans="2:3">
      <c r="B130" t="s">
        <v>124</v>
      </c>
      <c r="C130">
        <v>-960</v>
      </c>
    </row>
    <row r="131" spans="2:3">
      <c r="B131" t="s">
        <v>123</v>
      </c>
      <c r="C131">
        <v>-780</v>
      </c>
    </row>
    <row r="132" spans="2:3">
      <c r="B132" t="s">
        <v>122</v>
      </c>
      <c r="C132">
        <v>-660</v>
      </c>
    </row>
    <row r="133" spans="2:3">
      <c r="B133" t="s">
        <v>121</v>
      </c>
      <c r="C133">
        <v>-540</v>
      </c>
    </row>
    <row r="134" spans="2:3">
      <c r="B134" t="s">
        <v>120</v>
      </c>
      <c r="C134">
        <v>-420</v>
      </c>
    </row>
    <row r="135" spans="2:3">
      <c r="B135" t="s">
        <v>119</v>
      </c>
      <c r="C135">
        <v>-300</v>
      </c>
    </row>
    <row r="136" spans="2:3">
      <c r="B136" t="s">
        <v>118</v>
      </c>
      <c r="C136">
        <v>-180</v>
      </c>
    </row>
    <row r="137" spans="2:3">
      <c r="B137" t="s">
        <v>117</v>
      </c>
      <c r="C137">
        <v>-60</v>
      </c>
    </row>
    <row r="138" spans="2:3">
      <c r="B138" t="s">
        <v>116</v>
      </c>
      <c r="C138">
        <v>60</v>
      </c>
    </row>
    <row r="141" spans="2:3">
      <c r="B141" s="26" t="s">
        <v>180</v>
      </c>
    </row>
    <row r="142" spans="2:3">
      <c r="B142" t="s">
        <v>181</v>
      </c>
      <c r="C142">
        <v>20</v>
      </c>
    </row>
    <row r="143" spans="2:3">
      <c r="B143" t="s">
        <v>182</v>
      </c>
      <c r="C143">
        <v>1600</v>
      </c>
    </row>
    <row r="144" spans="2:3">
      <c r="B144" t="s">
        <v>183</v>
      </c>
      <c r="C144">
        <v>100</v>
      </c>
    </row>
    <row r="146" spans="2:3">
      <c r="B146" s="26" t="s">
        <v>193</v>
      </c>
    </row>
    <row r="147" spans="2:3">
      <c r="B147" t="s">
        <v>194</v>
      </c>
      <c r="C147" s="28" t="s">
        <v>28</v>
      </c>
    </row>
    <row r="148" spans="2:3">
      <c r="B148" t="s">
        <v>184</v>
      </c>
      <c r="C148" s="27">
        <v>-4140</v>
      </c>
    </row>
    <row r="149" spans="2:3">
      <c r="B149" t="s">
        <v>185</v>
      </c>
      <c r="C149" t="str">
        <f>FormulaTv($C$148,dataActiveBranch,$C$147)</f>
        <v>8</v>
      </c>
    </row>
    <row r="150" spans="2:3">
      <c r="B150" t="s">
        <v>31</v>
      </c>
      <c r="C150">
        <f>FormulaISO($C$148,dataActiveBranch,$C$147)</f>
        <v>100</v>
      </c>
    </row>
    <row r="151" spans="2:3">
      <c r="B151" t="s">
        <v>186</v>
      </c>
      <c r="C151" t="str">
        <f>dataActiveBranch</f>
        <v>default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5EB-2A9F-4EA2-9389-A4A627F11869}">
  <sheetPr codeName="Sheet10"/>
  <dimension ref="B1:H50"/>
  <sheetViews>
    <sheetView workbookViewId="0">
      <selection activeCell="G23" sqref="G23"/>
    </sheetView>
  </sheetViews>
  <sheetFormatPr defaultRowHeight="14.5"/>
  <cols>
    <col min="2" max="2" width="38.6328125" customWidth="1"/>
    <col min="3" max="3" width="14.6328125" customWidth="1"/>
    <col min="4" max="5" width="12.6328125" customWidth="1"/>
    <col min="6" max="8" width="10.6328125" customWidth="1"/>
  </cols>
  <sheetData>
    <row r="1" spans="2:4" ht="18.5">
      <c r="B1" s="14" t="s">
        <v>197</v>
      </c>
    </row>
    <row r="3" spans="2:4">
      <c r="B3" s="26" t="s">
        <v>198</v>
      </c>
    </row>
    <row r="4" spans="2:4">
      <c r="B4" t="s">
        <v>199</v>
      </c>
      <c r="C4" s="8">
        <v>46174.757638888892</v>
      </c>
    </row>
    <row r="5" spans="2:4">
      <c r="B5" t="s">
        <v>200</v>
      </c>
      <c r="C5" t="s">
        <v>201</v>
      </c>
    </row>
    <row r="6" spans="2:4">
      <c r="B6" t="s">
        <v>202</v>
      </c>
    </row>
    <row r="7" spans="2:4">
      <c r="B7" t="s">
        <v>203</v>
      </c>
      <c r="C7" s="28">
        <v>32</v>
      </c>
    </row>
    <row r="8" spans="2:4">
      <c r="B8" t="s">
        <v>204</v>
      </c>
      <c r="C8" s="27" t="s">
        <v>205</v>
      </c>
    </row>
    <row r="9" spans="2:4">
      <c r="B9" t="s">
        <v>71</v>
      </c>
    </row>
    <row r="11" spans="2:4">
      <c r="B11" s="26" t="s">
        <v>206</v>
      </c>
      <c r="C11" s="22" t="s">
        <v>207</v>
      </c>
      <c r="D11" s="22" t="s">
        <v>208</v>
      </c>
    </row>
    <row r="12" spans="2:4">
      <c r="B12" t="s">
        <v>209</v>
      </c>
      <c r="C12" s="29"/>
      <c r="D12" s="28"/>
    </row>
    <row r="13" spans="2:4">
      <c r="B13" t="s">
        <v>210</v>
      </c>
      <c r="C13" s="29"/>
      <c r="D13" s="28"/>
    </row>
    <row r="14" spans="2:4">
      <c r="B14" t="s">
        <v>211</v>
      </c>
      <c r="C14" s="29"/>
      <c r="D14" s="28"/>
    </row>
    <row r="15" spans="2:4">
      <c r="B15" t="s">
        <v>212</v>
      </c>
      <c r="C15" s="29"/>
      <c r="D15" s="28"/>
    </row>
    <row r="16" spans="2:4">
      <c r="B16" t="s">
        <v>213</v>
      </c>
      <c r="C16" s="29"/>
      <c r="D16" s="28"/>
    </row>
    <row r="17" spans="2:4">
      <c r="B17" t="s">
        <v>214</v>
      </c>
      <c r="C17" s="29"/>
      <c r="D17" s="28"/>
    </row>
    <row r="18" spans="2:4">
      <c r="B18" t="s">
        <v>215</v>
      </c>
      <c r="C18" s="29"/>
      <c r="D18" s="28"/>
    </row>
    <row r="19" spans="2:4">
      <c r="B19" t="s">
        <v>216</v>
      </c>
      <c r="C19" s="30"/>
      <c r="D19" s="27"/>
    </row>
    <row r="22" spans="2:4">
      <c r="B22" s="26" t="s">
        <v>217</v>
      </c>
    </row>
    <row r="23" spans="2:4">
      <c r="B23" t="s">
        <v>218</v>
      </c>
      <c r="C23" t="str">
        <f>FitCircle($C$12:$C$19,$D$12:$D$19,"cx")</f>
        <v>#DEGENERATE</v>
      </c>
    </row>
    <row r="24" spans="2:4">
      <c r="B24" t="s">
        <v>219</v>
      </c>
      <c r="C24" t="str">
        <f>FitCircle($C$12:$C$19,$D$12:$D$19,"cy")</f>
        <v>#DEGENERATE</v>
      </c>
    </row>
    <row r="25" spans="2:4">
      <c r="B25" t="s">
        <v>220</v>
      </c>
      <c r="C25" t="str">
        <f>FitCircle($C$12:$C$19,$D$12:$D$19,"r")</f>
        <v>#DEGENERATE</v>
      </c>
    </row>
    <row r="26" spans="2:4">
      <c r="B26" t="s">
        <v>221</v>
      </c>
      <c r="C26" t="e">
        <f>2*$C$25</f>
        <v>#VALUE!</v>
      </c>
    </row>
    <row r="27" spans="2:4">
      <c r="B27" t="s">
        <v>222</v>
      </c>
      <c r="C27" t="str">
        <f>FitCircle($C$12:$C$19,$D$12:$D$19,"scatter_mm")</f>
        <v>#DEGENERATE</v>
      </c>
    </row>
    <row r="28" spans="2:4">
      <c r="B28" t="s">
        <v>223</v>
      </c>
      <c r="C28" t="e">
        <f>SQRT($C$23^2+$C$24^2)</f>
        <v>#VALUE!</v>
      </c>
    </row>
    <row r="30" spans="2:4">
      <c r="B30" t="s">
        <v>224</v>
      </c>
      <c r="C30" t="e">
        <f>DEGREES(ATAN(490/$C$25))</f>
        <v>#VALUE!</v>
      </c>
    </row>
    <row r="31" spans="2:4">
      <c r="B31" t="s">
        <v>225</v>
      </c>
      <c r="C31" t="e">
        <f>$C$30/ABS($C$7)</f>
        <v>#VALUE!</v>
      </c>
    </row>
    <row r="32" spans="2:4">
      <c r="B32" t="s">
        <v>226</v>
      </c>
      <c r="C32">
        <v>0.35</v>
      </c>
    </row>
    <row r="35" spans="2:8">
      <c r="B35" s="26" t="s">
        <v>227</v>
      </c>
    </row>
    <row r="36" spans="2:8">
      <c r="B36" t="s">
        <v>228</v>
      </c>
    </row>
    <row r="38" spans="2:8">
      <c r="B38" s="22" t="s">
        <v>229</v>
      </c>
      <c r="C38" s="22" t="s">
        <v>230</v>
      </c>
      <c r="D38" s="22" t="s">
        <v>231</v>
      </c>
      <c r="E38" s="22" t="s">
        <v>232</v>
      </c>
      <c r="F38" s="22" t="s">
        <v>233</v>
      </c>
      <c r="G38" s="22" t="s">
        <v>234</v>
      </c>
      <c r="H38" s="22" t="s">
        <v>235</v>
      </c>
    </row>
    <row r="39" spans="2:8">
      <c r="B39" t="s">
        <v>236</v>
      </c>
      <c r="C39" s="28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>
      <c r="B40" t="s">
        <v>237</v>
      </c>
      <c r="C40" s="28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>
      <c r="B41" t="s">
        <v>238</v>
      </c>
      <c r="C41" s="28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>
      <c r="B42" t="s">
        <v>239</v>
      </c>
      <c r="C42" s="28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>
      <c r="B43" t="s">
        <v>240</v>
      </c>
      <c r="C43" s="28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>
      <c r="B44" t="s">
        <v>241</v>
      </c>
      <c r="C44" s="28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>
      <c r="B45" t="s">
        <v>242</v>
      </c>
      <c r="C45" s="28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>
      <c r="B46" t="s">
        <v>243</v>
      </c>
      <c r="C46" s="27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>
      <c r="B48" s="22" t="s">
        <v>244</v>
      </c>
    </row>
    <row r="49" spans="2:3">
      <c r="B49" t="s">
        <v>245</v>
      </c>
      <c r="C49">
        <f>IFERROR(MAX($H$39:$H$46),"")</f>
        <v>0</v>
      </c>
    </row>
    <row r="50" spans="2:3">
      <c r="B50" t="s">
        <v>246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2EC-87F5-4C63-8AF2-859021D750B1}">
  <sheetPr codeName="Sheet13"/>
  <dimension ref="A1:J19"/>
  <sheetViews>
    <sheetView workbookViewId="0">
      <selection activeCell="B35" sqref="B35"/>
    </sheetView>
  </sheetViews>
  <sheetFormatPr defaultRowHeight="14.5"/>
  <cols>
    <col min="1" max="1" width="28.6328125" customWidth="1"/>
    <col min="2" max="7" width="13.6328125" customWidth="1"/>
  </cols>
  <sheetData>
    <row r="1" spans="1:10" ht="17">
      <c r="A1" s="61" t="s">
        <v>419</v>
      </c>
    </row>
    <row r="2" spans="1:10">
      <c r="A2" t="s">
        <v>420</v>
      </c>
    </row>
    <row r="4" spans="1:10">
      <c r="A4" s="24" t="s">
        <v>421</v>
      </c>
      <c r="B4" s="62">
        <v>90</v>
      </c>
    </row>
    <row r="5" spans="1:10">
      <c r="A5" s="24" t="s">
        <v>422</v>
      </c>
      <c r="B5" s="62">
        <v>80</v>
      </c>
    </row>
    <row r="6" spans="1:10">
      <c r="A6" s="24" t="s">
        <v>423</v>
      </c>
      <c r="B6" s="62">
        <v>450</v>
      </c>
    </row>
    <row r="8" spans="1:10">
      <c r="A8" s="24" t="s">
        <v>424</v>
      </c>
      <c r="B8">
        <f>MAX(ABS(MIN(C15:C19)),ABS(MAX(C15:C19)))</f>
        <v>0</v>
      </c>
    </row>
    <row r="9" spans="1:10">
      <c r="A9" s="24" t="s">
        <v>425</v>
      </c>
      <c r="B9">
        <f>$B$6-B8</f>
        <v>450</v>
      </c>
    </row>
    <row r="10" spans="1:10">
      <c r="A10" s="24" t="s">
        <v>426</v>
      </c>
      <c r="B10">
        <f>MAX(D15:D19)</f>
        <v>0</v>
      </c>
    </row>
    <row r="11" spans="1:10">
      <c r="A11" s="24" t="s">
        <v>427</v>
      </c>
      <c r="B11">
        <f>SUMPRODUCT(--(F15:F19))</f>
        <v>0</v>
      </c>
    </row>
    <row r="14" spans="1:10">
      <c r="A14" s="63" t="s">
        <v>258</v>
      </c>
      <c r="B14" s="63" t="s">
        <v>69</v>
      </c>
      <c r="C14" s="63" t="s">
        <v>428</v>
      </c>
      <c r="D14" s="63" t="s">
        <v>429</v>
      </c>
      <c r="E14" s="63" t="s">
        <v>430</v>
      </c>
      <c r="F14" s="63" t="s">
        <v>431</v>
      </c>
      <c r="G14" s="63" t="s">
        <v>432</v>
      </c>
      <c r="I14" t="s">
        <v>433</v>
      </c>
      <c r="J14" t="s">
        <v>434</v>
      </c>
    </row>
    <row r="15" spans="1:10">
      <c r="A15" t="str">
        <f>Plan!M6</f>
        <v>GP01</v>
      </c>
      <c r="B15" t="str">
        <f>Plan!S6</f>
        <v>Track</v>
      </c>
      <c r="C15">
        <f>IF(ISNUMBER(Plan!V6),Plan!V6,0)+IFERROR(VALUE(Plan!X6),0)</f>
        <v>0</v>
      </c>
      <c r="D15">
        <f>IF(ISNUMBER(Plan!W6),Plan!W6,0)+IFERROR(VALUE(Plan!Y6),0)</f>
        <v>0</v>
      </c>
      <c r="E15">
        <v>0</v>
      </c>
      <c r="F15" t="b">
        <f>ABS(E15)&gt;$B$4</f>
        <v>0</v>
      </c>
      <c r="G15" t="e">
        <f>IF(F15,D15,NA())</f>
        <v>#N/A</v>
      </c>
      <c r="I15">
        <f>MIN(C15:C19)</f>
        <v>0</v>
      </c>
      <c r="J15">
        <f>$B$5</f>
        <v>80</v>
      </c>
    </row>
    <row r="16" spans="1:10">
      <c r="A16" t="str">
        <f>Plan!M7</f>
        <v>GP02</v>
      </c>
      <c r="B16" t="str">
        <f>Plan!S7</f>
        <v>Track</v>
      </c>
      <c r="C16">
        <f>IF(ISNUMBER(Plan!V7),Plan!V7,C15)+IFERROR(VALUE(Plan!X7),0)</f>
        <v>0</v>
      </c>
      <c r="D16">
        <f>IF(ISNUMBER(Plan!W7),Plan!W7,D15)+IFERROR(VALUE(Plan!Y7),0)</f>
        <v>0</v>
      </c>
      <c r="E16">
        <f>C16-C15</f>
        <v>0</v>
      </c>
      <c r="F16" t="b">
        <f>ABS(E16)&gt;$B$4</f>
        <v>0</v>
      </c>
      <c r="G16" t="e">
        <f>IF(F16,D16,NA())</f>
        <v>#N/A</v>
      </c>
      <c r="I16">
        <f>MAX(C15:C19)</f>
        <v>0</v>
      </c>
      <c r="J16">
        <f>$B$5</f>
        <v>80</v>
      </c>
    </row>
    <row r="17" spans="1:7">
      <c r="A17" t="str">
        <f>Plan!M8</f>
        <v>GP03</v>
      </c>
      <c r="B17" t="str">
        <f>Plan!S8</f>
        <v>END</v>
      </c>
      <c r="C17">
        <f>IF(ISNUMBER(Plan!V8),Plan!V8,C16)+IFERROR(VALUE(Plan!X8),0)</f>
        <v>0</v>
      </c>
      <c r="D17">
        <f>IF(ISNUMBER(Plan!W8),Plan!W8,D16)+IFERROR(VALUE(Plan!Y8),0)</f>
        <v>0</v>
      </c>
      <c r="E17">
        <f>C17-C16</f>
        <v>0</v>
      </c>
      <c r="F17" t="b">
        <f>ABS(E17)&gt;$B$4</f>
        <v>0</v>
      </c>
      <c r="G17" t="e">
        <f>IF(F17,D17,NA())</f>
        <v>#N/A</v>
      </c>
    </row>
    <row r="18" spans="1:7">
      <c r="A18" t="str">
        <f>Plan!M9</f>
        <v>GP04</v>
      </c>
      <c r="B18">
        <f>Plan!S9</f>
        <v>0</v>
      </c>
      <c r="C18">
        <f>IF(ISNUMBER(Plan!V9),Plan!V9,C17)+IFERROR(VALUE(Plan!X9),0)</f>
        <v>0</v>
      </c>
      <c r="D18">
        <f>IF(ISNUMBER(Plan!W9),Plan!W9,D17)+IFERROR(VALUE(Plan!Y9),0)</f>
        <v>0</v>
      </c>
      <c r="E18">
        <f>C18-C17</f>
        <v>0</v>
      </c>
      <c r="F18" t="b">
        <f>ABS(E18)&gt;$B$4</f>
        <v>0</v>
      </c>
      <c r="G18" t="e">
        <f>IF(F18,D18,NA())</f>
        <v>#N/A</v>
      </c>
    </row>
    <row r="19" spans="1:7">
      <c r="A19" t="str">
        <f>Plan!M10</f>
        <v>GP05</v>
      </c>
      <c r="B19">
        <f>Plan!S10</f>
        <v>0</v>
      </c>
      <c r="C19">
        <f>IF(ISNUMBER(Plan!V10),Plan!V10,C18)+IFERROR(VALUE(Plan!X10),0)</f>
        <v>0</v>
      </c>
      <c r="D19">
        <f>IF(ISNUMBER(Plan!W10),Plan!W10,D18)+IFERROR(VALUE(Plan!Y10),0)</f>
        <v>0</v>
      </c>
      <c r="E19">
        <f>C19-C18</f>
        <v>0</v>
      </c>
      <c r="F19" t="b">
        <f>ABS(E19)&gt;$B$4</f>
        <v>0</v>
      </c>
      <c r="G19" t="e">
        <f>IF(F19,D19,NA())</f>
        <v>#N/A</v>
      </c>
    </row>
  </sheetData>
  <conditionalFormatting sqref="B9">
    <cfRule type="cellIs" dxfId="2" priority="1" stopIfTrue="1" operator="lessThan">
      <formula>0</formula>
    </cfRule>
  </conditionalFormatting>
  <conditionalFormatting sqref="B10">
    <cfRule type="cellIs" dxfId="1" priority="2" stopIfTrue="1" operator="greaterThan">
      <formula>$B$5</formula>
    </cfRule>
  </conditionalFormatting>
  <conditionalFormatting sqref="B11">
    <cfRule type="cellIs" dxfId="0" priority="3" stopIfTrue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92</vt:i4>
      </vt:variant>
    </vt:vector>
  </HeadingPairs>
  <TitlesOfParts>
    <vt:vector size="106" baseType="lpstr">
      <vt:lpstr>Control</vt:lpstr>
      <vt:lpstr>Settings</vt:lpstr>
      <vt:lpstr>Plan</vt:lpstr>
      <vt:lpstr>Monitor</vt:lpstr>
      <vt:lpstr>Sequence</vt:lpstr>
      <vt:lpstr>CartLog</vt:lpstr>
      <vt:lpstr>GimbalLog</vt:lpstr>
      <vt:lpstr>Log</vt:lpstr>
      <vt:lpstr>Soak test</vt:lpstr>
      <vt:lpstr>AstroTable</vt:lpstr>
      <vt:lpstr>Trace</vt:lpstr>
      <vt:lpstr>FallbackFormula</vt:lpstr>
      <vt:lpstr>Calibration</vt:lpstr>
      <vt:lpstr>GimbalViz</vt:lpstr>
      <vt:lpstr>btnCable</vt:lpstr>
      <vt:lpstr>btnCommitSmooth</vt:lpstr>
      <vt:lpstr>btnDiscardSmooth</vt:lpstr>
      <vt:lpstr>btnExportModules</vt:lpstr>
      <vt:lpstr>btnGenerateGCTable</vt:lpstr>
      <vt:lpstr>btnGetMap</vt:lpstr>
      <vt:lpstr>btnGetSunsetTime</vt:lpstr>
      <vt:lpstr>btnGimbalVisual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btnPrepCart</vt:lpstr>
      <vt:lpstr>btnPrepPlan</vt:lpstr>
      <vt:lpstr>btnPrepSession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dataMoonsetTime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datMapRadius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2026-06-08T11:53:19Z</dcterms:modified>
</cp:coreProperties>
</file>