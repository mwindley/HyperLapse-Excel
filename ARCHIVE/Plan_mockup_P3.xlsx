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tings" sheetId="1" state="visible" r:id="rId3"/>
    <sheet name="Plan" sheetId="2" state="visible" r:id="rId4"/>
  </sheets>
  <definedNames>
    <definedName function="false" hidden="false" name="dataMoonriseTime" vbProcedure="false">Settings!$B$9</definedName>
    <definedName function="false" hidden="false" name="dataMoonsetTime" vbProcedure="false">Settings!$B$10</definedName>
    <definedName function="false" hidden="false" name="dataMWRiseTime" vbProcedure="false">Settings!$B$11</definedName>
    <definedName function="false" hidden="false" name="dataMWSetTime" vbProcedure="false">Settings!$B$13</definedName>
    <definedName function="false" hidden="false" name="dataMWTransitTime" vbProcedure="false">Settings!$B$12</definedName>
    <definedName function="false" hidden="false" name="dataShootStart" vbProcedure="false">Settings!$B$4</definedName>
    <definedName function="false" hidden="false" name="dataSunriseTime" vbProcedure="false">Settings!$B$8</definedName>
    <definedName function="false" hidden="false" name="dataSunsetTime" vbProcedure="false">Settings!$B$7</definedName>
    <definedName function="false" hidden="false" name="gimbalYawEnvelopeMax" vbProcedure="false">Settings!$B$27</definedName>
    <definedName function="false" hidden="false" name="gimbalYawEnvelopeMin" vbProcedure="false">Settings!$B$26</definedName>
    <definedName function="false" hidden="false" name="rateCinematicEase" vbProcedure="false">Settings!$B$19</definedName>
    <definedName function="false" hidden="false" name="rateDeliberatePan" vbProcedure="false">Settings!$B$20</definedName>
    <definedName function="false" hidden="false" name="rateFast" vbProcedure="false">Settings!$B$21</definedName>
    <definedName function="false" hidden="false" name="rateImperceptible" vbProcedure="false">Settings!$B$18</definedName>
    <definedName function="false" hidden="false" name="rateSnapDur" vbProcedure="false">Settings!$C$22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<sst xmlns="http://schemas.openxmlformats.org/spreadsheetml/2006/main" count="156" uniqueCount="131">
  <si>
    <t xml:space="preserve">Plan Authoring — Settings</t>
  </si>
  <si>
    <t xml:space="preserve">Shoot start anchor</t>
  </si>
  <si>
    <t xml:space="preserve">dataShootStart</t>
  </si>
  <si>
    <t xml:space="preserve">15:42:00</t>
  </si>
  <si>
    <t xml:space="preserve">Wall-clock time when cart starts (Way01). All Plan times computed from here.</t>
  </si>
  <si>
    <t xml:space="preserve">Astro events (placeholders; pushed from Astro.bas in production)</t>
  </si>
  <si>
    <t xml:space="preserve">dataSunsetTime</t>
  </si>
  <si>
    <t xml:space="preserve">17:42:00</t>
  </si>
  <si>
    <t xml:space="preserve">T0 reference for the demo plan</t>
  </si>
  <si>
    <t xml:space="preserve">dataSunriseTime</t>
  </si>
  <si>
    <t xml:space="preserve">06:18:00</t>
  </si>
  <si>
    <t xml:space="preserve">dataMoonriseTime</t>
  </si>
  <si>
    <t xml:space="preserve">21:05:00</t>
  </si>
  <si>
    <t xml:space="preserve">dataMoonsetTime</t>
  </si>
  <si>
    <t xml:space="preserve">08:30:00</t>
  </si>
  <si>
    <t xml:space="preserve">dataMWRiseTime</t>
  </si>
  <si>
    <t xml:space="preserve">22:30:00</t>
  </si>
  <si>
    <t xml:space="preserve">MW core rises (location-dependent)</t>
  </si>
  <si>
    <t xml:space="preserve">dataMWTransitTime</t>
  </si>
  <si>
    <t xml:space="preserve">02:15:00</t>
  </si>
  <si>
    <t xml:space="preserve">MW core transit</t>
  </si>
  <si>
    <t xml:space="preserve">dataMWSetTime</t>
  </si>
  <si>
    <t xml:space="preserve">06:00:00</t>
  </si>
  <si>
    <t xml:space="preserve">MW core sets</t>
  </si>
  <si>
    <t xml:space="preserve">Rate vocabulary (°/sec)</t>
  </si>
  <si>
    <t xml:space="preserve">Rate name</t>
  </si>
  <si>
    <t xml:space="preserve">°/sec</t>
  </si>
  <si>
    <t xml:space="preserve">Snap dur (sec)</t>
  </si>
  <si>
    <t xml:space="preserve">Notes</t>
  </si>
  <si>
    <t xml:space="preserve">Imperceptible</t>
  </si>
  <si>
    <t xml:space="preserve">Astro drift territory</t>
  </si>
  <si>
    <t xml:space="preserve">Cinematic ease</t>
  </si>
  <si>
    <t xml:space="preserve">Comfortable; default for most moves</t>
  </si>
  <si>
    <t xml:space="preserve">Deliberate pan</t>
  </si>
  <si>
    <t xml:space="preserve">Operator-pan feel</t>
  </si>
  <si>
    <t xml:space="preserve">Fast</t>
  </si>
  <si>
    <t xml:space="preserve">Punchy; approaches red on chart</t>
  </si>
  <si>
    <t xml:space="preserve">Snap</t>
  </si>
  <si>
    <t xml:space="preserve">Near-instant; fixed duration regardless of distance</t>
  </si>
  <si>
    <t xml:space="preserve">Yaw envelope (cumulative; ±225° default)</t>
  </si>
  <si>
    <t xml:space="preserve">gimbalYawEnvelopeMin</t>
  </si>
  <si>
    <t xml:space="preserve">gimbalYawEnvelopeMax</t>
  </si>
  <si>
    <t xml:space="preserve">PLAN — combined cart + gimbal authoring surface</t>
  </si>
  <si>
    <t xml:space="preserve">LEFT — Cart Plan (editable)</t>
  </si>
  <si>
    <t xml:space="preserve">MIDDLE — Gimbal Plan (editable)</t>
  </si>
  <si>
    <t xml:space="preserve">RIGHT — Gimbal Log (read-only reference)</t>
  </si>
  <si>
    <t xml:space="preserve">Step</t>
  </si>
  <si>
    <t xml:space="preserve">Action</t>
  </si>
  <si>
    <t xml:space="preserve">Dist (m)</t>
  </si>
  <si>
    <t xml:space="preserve">Speed (m/hr)</t>
  </si>
  <si>
    <t xml:space="preserve">Turn (°)</t>
  </si>
  <si>
    <t xml:space="preserve">Hold (s)</t>
  </si>
  <si>
    <t xml:space="preserve">WP #</t>
  </si>
  <si>
    <t xml:space="preserve">Dist Σ (m)</t>
  </si>
  <si>
    <t xml:space="preserve">Arrives</t>
  </si>
  <si>
    <t xml:space="preserve">Note</t>
  </si>
  <si>
    <t xml:space="preserve">Anchor type</t>
  </si>
  <si>
    <t xml:space="preserve">Anchor ref</t>
  </si>
  <si>
    <t xml:space="preserve">Target type</t>
  </si>
  <si>
    <t xml:space="preserve">Target ref</t>
  </si>
  <si>
    <t xml:space="preserve">KF</t>
  </si>
  <si>
    <t xml:space="preserve">Rate</t>
  </si>
  <si>
    <t xml:space="preserve">Δyaw (°)</t>
  </si>
  <si>
    <t xml:space="preserve">Δpitch (°)</t>
  </si>
  <si>
    <t xml:space="preserve">Move t</t>
  </si>
  <si>
    <t xml:space="preserve">End anchor</t>
  </si>
  <si>
    <t xml:space="preserve">Log row#</t>
  </si>
  <si>
    <t xml:space="preserve">Time</t>
  </si>
  <si>
    <t xml:space="preserve">Type</t>
  </si>
  <si>
    <t xml:space="preserve">Astro tgt</t>
  </si>
  <si>
    <t xml:space="preserve">Ry (°)</t>
  </si>
  <si>
    <t xml:space="preserve">Pitch (°)</t>
  </si>
  <si>
    <t xml:space="preserve">Label</t>
  </si>
  <si>
    <t xml:space="preserve">DRIVE</t>
  </si>
  <si>
    <t xml:space="preserve">Way01 start</t>
  </si>
  <si>
    <t xml:space="preserve">WP</t>
  </si>
  <si>
    <t xml:space="preserve">WP1</t>
  </si>
  <si>
    <t xml:space="preserve">Pan Follow</t>
  </si>
  <si>
    <t xml:space="preserve">—</t>
  </si>
  <si>
    <t xml:space="preserve">Computed</t>
  </si>
  <si>
    <t xml:space="preserve">until GP2</t>
  </si>
  <si>
    <t xml:space="preserve">Follow cart heading during S-bend</t>
  </si>
  <si>
    <t xml:space="preserve">14:32:17</t>
  </si>
  <si>
    <t xml:space="preserve">marker</t>
  </si>
  <si>
    <t xml:space="preserve">Tree</t>
  </si>
  <si>
    <t xml:space="preserve">Way02</t>
  </si>
  <si>
    <t xml:space="preserve">WP5</t>
  </si>
  <si>
    <t xml:space="preserve">Approach</t>
  </si>
  <si>
    <t xml:space="preserve">astro</t>
  </si>
  <si>
    <t xml:space="preserve">sun</t>
  </si>
  <si>
    <t xml:space="preserve">19 min</t>
  </si>
  <si>
    <t xml:space="preserve">until GP3</t>
  </si>
  <si>
    <t xml:space="preserve">Pursuit-curve: slew to sun then track</t>
  </si>
  <si>
    <t xml:space="preserve">14:45:02</t>
  </si>
  <si>
    <t xml:space="preserve">Harbour</t>
  </si>
  <si>
    <t xml:space="preserve">Way03 (+20° turn)</t>
  </si>
  <si>
    <t xml:space="preserve">ASTRO</t>
  </si>
  <si>
    <t xml:space="preserve">sunset</t>
  </si>
  <si>
    <t xml:space="preserve">pose-offset</t>
  </si>
  <si>
    <t xml:space="preserve">sun@T0</t>
  </si>
  <si>
    <t xml:space="preserve">12 min</t>
  </si>
  <si>
    <t xml:space="preserve">T0+120 (planend)</t>
  </si>
  <si>
    <t xml:space="preserve">Sun bottom-left frame; bad-pan possible</t>
  </si>
  <si>
    <t xml:space="preserve">14:58:30</t>
  </si>
  <si>
    <t xml:space="preserve">Hill</t>
  </si>
  <si>
    <t xml:space="preserve">Way04</t>
  </si>
  <si>
    <t xml:space="preserve">15:10:45</t>
  </si>
  <si>
    <t xml:space="preserve">mid</t>
  </si>
  <si>
    <t xml:space="preserve">Sunset framed bottom-left</t>
  </si>
  <si>
    <t xml:space="preserve">Way05 (-20° turn) — GP2 fires here</t>
  </si>
  <si>
    <t xml:space="preserve">15:14:10</t>
  </si>
  <si>
    <t xml:space="preserve">MW</t>
  </si>
  <si>
    <t xml:space="preserve">rise</t>
  </si>
  <si>
    <t xml:space="preserve">MW just clearing horizon</t>
  </si>
  <si>
    <t xml:space="preserve">Way06 — final straight</t>
  </si>
  <si>
    <t xml:space="preserve">STOP</t>
  </si>
  <si>
    <t xml:space="preserve">Cart parked, T0-40</t>
  </si>
  <si>
    <t xml:space="preserve">Cell colour legend:</t>
  </si>
  <si>
    <t xml:space="preserve">  Pale yellow</t>
  </si>
  <si>
    <t xml:space="preserve">  = editable / seeded from CartLog</t>
  </si>
  <si>
    <t xml:space="preserve">  Light grey</t>
  </si>
  <si>
    <t xml:space="preserve">  = derived by formula (auto-updates when authored cells change)</t>
  </si>
  <si>
    <t xml:space="preserve">  Medium grey</t>
  </si>
  <si>
    <t xml:space="preserve">  = read-only reference from GimbalLog</t>
  </si>
  <si>
    <t xml:space="preserve">P3 — formulas live on derived columns:</t>
  </si>
  <si>
    <t xml:space="preserve">• Col B Step:    =ROW()-5</t>
  </si>
  <si>
    <t xml:space="preserve">• Col I Dist Σ:  =I_prev + IF(ISBLANK(D),0,D)</t>
  </si>
  <si>
    <t xml:space="preserve">• Col J Arrives: first row = dataShootStart; subsequent rows = J_prev + leg duration</t>
  </si>
  <si>
    <t xml:space="preserve">  where leg duration = D/E/24 days for DRIVE (D=m, E=m/hr), G/86400 for STOP</t>
  </si>
  <si>
    <t xml:space="preserve">• Edit a Speed or Distance cell and watch Dist Σ and Arrives update instantly.</t>
  </si>
  <si>
    <t xml:space="preserve">• Try changing E6 from 5 to 10 m/hr — total shoot time halves.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</si>
</sst>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"/>
    <numFmt numFmtId="166" formatCode="General"/>
    <numFmt numFmtId="167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5C8"/>
        <bgColor rgb="FFDDDDDD"/>
      </patternFill>
    </fill>
    <fill>
      <patternFill patternType="solid">
        <fgColor rgb="FFC8D8E5"/>
        <bgColor rgb="FFDDDDDD"/>
      </patternFill>
    </fill>
    <fill>
      <patternFill patternType="solid">
        <fgColor rgb="FFE5D8C8"/>
        <bgColor rgb="FFDDDDDD"/>
      </patternFill>
    </fill>
    <fill>
      <patternFill patternType="solid">
        <fgColor rgb="FFF5F5F5"/>
        <bgColor rgb="FFF0F0F0"/>
      </patternFill>
    </fill>
    <fill>
      <patternFill patternType="solid">
        <fgColor rgb="FFDDDDDD"/>
        <bgColor rgb="FFE5D8C8"/>
      </patternFill>
    </fill>
    <fill>
      <patternFill patternType="solid">
        <fgColor rgb="FFFFFFEE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F0F0F0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5F5F5"/>
      <rgbColor rgb="FFF0F0F0"/>
      <rgbColor rgb="FF660066"/>
      <rgbColor rgb="FFFF8080"/>
      <rgbColor rgb="FF0066CC"/>
      <rgbColor rgb="FFC8D8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6E5C8"/>
      <rgbColor rgb="FFFFFF99"/>
      <rgbColor rgb="FF99CCFF"/>
      <rgbColor rgb="FFFF99CC"/>
      <rgbColor rgb="FFCC99FF"/>
      <rgbColor rgb="FFE5D8C8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s">
        <v>3</v>
      </c>
      <c r="C4" s="4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0" t="s">
        <v>6</v>
      </c>
      <c r="B7" s="3" t="s">
        <v>7</v>
      </c>
      <c r="C7" s="4" t="s">
        <v>8</v>
      </c>
    </row>
    <row r="8" customFormat="false" ht="15" hidden="false" customHeight="false" outlineLevel="0" collapsed="false">
      <c r="A8" s="0" t="s">
        <v>9</v>
      </c>
      <c r="B8" s="3" t="s">
        <v>10</v>
      </c>
    </row>
    <row r="9" customFormat="false" ht="15" hidden="false" customHeight="false" outlineLevel="0" collapsed="false">
      <c r="A9" s="0" t="s">
        <v>11</v>
      </c>
      <c r="B9" s="3" t="s">
        <v>12</v>
      </c>
    </row>
    <row r="10" customFormat="false" ht="15" hidden="false" customHeight="false" outlineLevel="0" collapsed="false">
      <c r="A10" s="0" t="s">
        <v>13</v>
      </c>
      <c r="B10" s="3" t="s">
        <v>14</v>
      </c>
    </row>
    <row r="11" customFormat="false" ht="15" hidden="false" customHeight="false" outlineLevel="0" collapsed="false">
      <c r="A11" s="0" t="s">
        <v>15</v>
      </c>
      <c r="B11" s="3" t="s">
        <v>16</v>
      </c>
      <c r="C11" s="4" t="s">
        <v>17</v>
      </c>
    </row>
    <row r="12" customFormat="false" ht="15" hidden="false" customHeight="false" outlineLevel="0" collapsed="false">
      <c r="A12" s="0" t="s">
        <v>18</v>
      </c>
      <c r="B12" s="3" t="s">
        <v>19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s">
        <v>22</v>
      </c>
      <c r="C13" s="4" t="s">
        <v>23</v>
      </c>
    </row>
    <row r="16" customFormat="false" ht="15" hidden="false" customHeight="false" outlineLevel="0" collapsed="false">
      <c r="A16" s="2" t="s">
        <v>24</v>
      </c>
    </row>
    <row r="17" customFormat="false" ht="15" hidden="false" customHeight="false" outlineLevel="0" collapsed="false">
      <c r="A17" s="2" t="s">
        <v>25</v>
      </c>
      <c r="B17" s="2" t="s">
        <v>26</v>
      </c>
      <c r="C17" s="2" t="s">
        <v>27</v>
      </c>
      <c r="D17" s="2" t="s">
        <v>28</v>
      </c>
    </row>
    <row r="18" customFormat="false" ht="15" hidden="false" customHeight="false" outlineLevel="0" collapsed="false">
      <c r="A18" s="0" t="s">
        <v>29</v>
      </c>
      <c r="B18" s="0" t="n">
        <v>0.004</v>
      </c>
      <c r="D18" s="0" t="s">
        <v>30</v>
      </c>
    </row>
    <row r="19" customFormat="false" ht="15" hidden="false" customHeight="false" outlineLevel="0" collapsed="false">
      <c r="A19" s="0" t="s">
        <v>31</v>
      </c>
      <c r="B19" s="0" t="n">
        <v>0.05</v>
      </c>
      <c r="D19" s="0" t="s">
        <v>32</v>
      </c>
    </row>
    <row r="20" customFormat="false" ht="15" hidden="false" customHeight="false" outlineLevel="0" collapsed="false">
      <c r="A20" s="0" t="s">
        <v>33</v>
      </c>
      <c r="B20" s="0" t="n">
        <v>0.15</v>
      </c>
      <c r="D20" s="0" t="s">
        <v>34</v>
      </c>
    </row>
    <row r="21" customFormat="false" ht="15" hidden="false" customHeight="false" outlineLevel="0" collapsed="false">
      <c r="A21" s="0" t="s">
        <v>35</v>
      </c>
      <c r="B21" s="0" t="n">
        <v>0.3</v>
      </c>
      <c r="D21" s="0" t="s">
        <v>36</v>
      </c>
    </row>
    <row r="22" customFormat="false" ht="15" hidden="false" customHeight="false" outlineLevel="0" collapsed="false">
      <c r="A22" s="0" t="s">
        <v>37</v>
      </c>
      <c r="C22" s="0" t="n">
        <v>3</v>
      </c>
      <c r="D22" s="0" t="s">
        <v>38</v>
      </c>
    </row>
    <row r="25" customFormat="false" ht="15" hidden="false" customHeight="false" outlineLevel="0" collapsed="false">
      <c r="A25" s="2" t="s">
        <v>39</v>
      </c>
    </row>
    <row r="26" customFormat="false" ht="15" hidden="false" customHeight="false" outlineLevel="0" collapsed="false">
      <c r="A26" s="0" t="s">
        <v>40</v>
      </c>
      <c r="B26" s="0" t="n">
        <v>-225</v>
      </c>
    </row>
    <row r="27" customFormat="false" ht="15" hidden="false" customHeight="false" outlineLevel="0" collapsed="false">
      <c r="A27" s="0" t="s">
        <v>41</v>
      </c>
      <c r="B27" s="0" t="n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10"/>
    <col collapsed="false" customWidth="true" hidden="false" outlineLevel="0" max="11" min="11" style="0" width="38"/>
    <col collapsed="false" customWidth="true" hidden="false" outlineLevel="0" max="12" min="12" style="0" width="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3" min="21" style="0" width="9"/>
    <col collapsed="false" customWidth="true" hidden="false" outlineLevel="0" max="24" min="24" style="0" width="18"/>
    <col collapsed="false" customWidth="true" hidden="false" outlineLevel="0" max="25" min="25" style="0" width="32"/>
    <col collapsed="false" customWidth="true" hidden="false" outlineLevel="0" max="26" min="26" style="0" width="2"/>
    <col collapsed="false" customWidth="true" hidden="false" outlineLevel="0" max="27" min="27" style="0" width="9"/>
    <col collapsed="false" customWidth="true" hidden="false" outlineLevel="0" max="28" min="28" style="0" width="10"/>
    <col collapsed="false" customWidth="true" hidden="false" outlineLevel="0" max="29" min="29" style="0" width="8"/>
    <col collapsed="false" customWidth="true" hidden="false" outlineLevel="0" max="30" min="30" style="0" width="10"/>
    <col collapsed="false" customWidth="true" hidden="false" outlineLevel="0" max="31" min="31" style="0" width="6"/>
    <col collapsed="false" customWidth="true" hidden="false" outlineLevel="0" max="32" min="32" style="0" width="8"/>
    <col collapsed="false" customWidth="true" hidden="false" outlineLevel="0" max="35" min="33" style="0" width="9"/>
    <col collapsed="false" customWidth="true" hidden="false" outlineLevel="0" max="36" min="36" style="0" width="28"/>
  </cols>
  <sheetData>
    <row r="1" customFormat="false" ht="21.75" hidden="false" customHeight="true" outlineLevel="0" collapsed="false">
      <c r="B1" s="1" t="s">
        <v>42</v>
      </c>
    </row>
    <row r="3" customFormat="false" ht="19.5" hidden="false" customHeight="true" outlineLevel="0" collapsed="false">
      <c r="B3" s="5" t="s">
        <v>43</v>
      </c>
      <c r="C3" s="5"/>
      <c r="D3" s="5"/>
      <c r="E3" s="5"/>
      <c r="F3" s="5"/>
      <c r="G3" s="5"/>
      <c r="H3" s="5"/>
      <c r="I3" s="5"/>
      <c r="J3" s="5"/>
      <c r="K3" s="5"/>
      <c r="M3" s="6" t="s">
        <v>44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AA3" s="7" t="s">
        <v>45</v>
      </c>
      <c r="AB3" s="7"/>
      <c r="AC3" s="7"/>
      <c r="AD3" s="7"/>
      <c r="AE3" s="7"/>
      <c r="AF3" s="7"/>
      <c r="AG3" s="7"/>
      <c r="AH3" s="7"/>
      <c r="AI3" s="7"/>
      <c r="AJ3" s="7"/>
    </row>
    <row r="5" customFormat="false" ht="27.75" hidden="false" customHeight="true" outlineLevel="0" collapsed="false">
      <c r="B5" s="8" t="s">
        <v>46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  <c r="H5" s="9" t="s">
        <v>52</v>
      </c>
      <c r="I5" s="8" t="s">
        <v>53</v>
      </c>
      <c r="J5" s="8" t="s">
        <v>54</v>
      </c>
      <c r="K5" s="9" t="s">
        <v>55</v>
      </c>
      <c r="M5" s="8" t="s">
        <v>46</v>
      </c>
      <c r="N5" s="9" t="s">
        <v>56</v>
      </c>
      <c r="O5" s="9" t="s">
        <v>57</v>
      </c>
      <c r="P5" s="9" t="s">
        <v>47</v>
      </c>
      <c r="Q5" s="9" t="s">
        <v>58</v>
      </c>
      <c r="R5" s="9" t="s">
        <v>59</v>
      </c>
      <c r="S5" s="9" t="s">
        <v>60</v>
      </c>
      <c r="T5" s="9" t="s">
        <v>61</v>
      </c>
      <c r="U5" s="9" t="s">
        <v>62</v>
      </c>
      <c r="V5" s="9" t="s">
        <v>63</v>
      </c>
      <c r="W5" s="8" t="s">
        <v>64</v>
      </c>
      <c r="X5" s="9" t="s">
        <v>65</v>
      </c>
      <c r="Y5" s="9" t="s">
        <v>55</v>
      </c>
      <c r="AA5" s="9" t="s">
        <v>66</v>
      </c>
      <c r="AB5" s="9" t="s">
        <v>67</v>
      </c>
      <c r="AC5" s="9" t="s">
        <v>68</v>
      </c>
      <c r="AD5" s="9" t="s">
        <v>69</v>
      </c>
      <c r="AE5" s="9" t="s">
        <v>60</v>
      </c>
      <c r="AF5" s="9" t="s">
        <v>70</v>
      </c>
      <c r="AG5" s="9" t="s">
        <v>71</v>
      </c>
      <c r="AH5" s="9" t="s">
        <v>62</v>
      </c>
      <c r="AI5" s="9" t="s">
        <v>63</v>
      </c>
      <c r="AJ5" s="9" t="s">
        <v>72</v>
      </c>
    </row>
    <row r="6" customFormat="false" ht="15" hidden="false" customHeight="false" outlineLevel="0" collapsed="false">
      <c r="B6" s="10" t="n">
        <f aca="false">ROW()-5</f>
        <v>1</v>
      </c>
      <c r="C6" s="11" t="s">
        <v>73</v>
      </c>
      <c r="D6" s="12"/>
      <c r="E6" s="12"/>
      <c r="F6" s="12"/>
      <c r="G6" s="12"/>
      <c r="H6" s="13" t="n">
        <v>1</v>
      </c>
      <c r="I6" s="14" t="n">
        <f aca="false">IF(ISBLANK(D6),0,D6)</f>
        <v>0</v>
      </c>
      <c r="J6" s="15" t="str">
        <f aca="false">dataShootStart</f>
        <v>15:42:00</v>
      </c>
      <c r="K6" s="13" t="s">
        <v>74</v>
      </c>
      <c r="M6" s="10" t="n">
        <f aca="false">ROW()-5</f>
        <v>1</v>
      </c>
      <c r="N6" s="11" t="s">
        <v>75</v>
      </c>
      <c r="O6" s="13" t="s">
        <v>76</v>
      </c>
      <c r="P6" s="11" t="s">
        <v>77</v>
      </c>
      <c r="Q6" s="11" t="s">
        <v>78</v>
      </c>
      <c r="R6" s="13" t="s">
        <v>78</v>
      </c>
      <c r="S6" s="11" t="s">
        <v>78</v>
      </c>
      <c r="T6" s="11" t="s">
        <v>79</v>
      </c>
      <c r="U6" s="13" t="n">
        <v>0</v>
      </c>
      <c r="V6" s="13" t="n">
        <v>0</v>
      </c>
      <c r="W6" s="10" t="s">
        <v>78</v>
      </c>
      <c r="X6" s="13" t="s">
        <v>80</v>
      </c>
      <c r="Y6" s="13" t="s">
        <v>81</v>
      </c>
      <c r="AA6" s="16" t="n">
        <v>2</v>
      </c>
      <c r="AB6" s="16" t="s">
        <v>82</v>
      </c>
      <c r="AC6" s="16" t="s">
        <v>83</v>
      </c>
      <c r="AD6" s="16"/>
      <c r="AE6" s="16"/>
      <c r="AF6" s="16" t="n">
        <v>47.3</v>
      </c>
      <c r="AG6" s="16" t="n">
        <v>12</v>
      </c>
      <c r="AH6" s="16"/>
      <c r="AI6" s="16"/>
      <c r="AJ6" s="16" t="s">
        <v>84</v>
      </c>
    </row>
    <row r="7" customFormat="false" ht="15" hidden="false" customHeight="false" outlineLevel="0" collapsed="false">
      <c r="B7" s="10" t="n">
        <f aca="false">ROW()-5</f>
        <v>2</v>
      </c>
      <c r="C7" s="11" t="s">
        <v>73</v>
      </c>
      <c r="D7" s="13" t="n">
        <v>1</v>
      </c>
      <c r="E7" s="13" t="n">
        <v>5</v>
      </c>
      <c r="F7" s="13" t="n">
        <v>0</v>
      </c>
      <c r="G7" s="13"/>
      <c r="H7" s="13" t="n">
        <v>2</v>
      </c>
      <c r="I7" s="14" t="n">
        <f aca="false">I6+IF(ISBLANK(D7),0,D7)</f>
        <v>1</v>
      </c>
      <c r="J7" s="15" t="n">
        <f aca="false">IF(C7="DRIVE",J6+IF(E7&gt;0,D7/E7/24,0),IF(C7="STOP",J6+IF(ISBLANK(G7),0,G7/86400),J6))</f>
        <v>0.6625</v>
      </c>
      <c r="K7" s="13" t="s">
        <v>85</v>
      </c>
      <c r="M7" s="10" t="n">
        <f aca="false">ROW()-5</f>
        <v>2</v>
      </c>
      <c r="N7" s="11" t="s">
        <v>75</v>
      </c>
      <c r="O7" s="13" t="s">
        <v>86</v>
      </c>
      <c r="P7" s="11" t="s">
        <v>87</v>
      </c>
      <c r="Q7" s="11" t="s">
        <v>88</v>
      </c>
      <c r="R7" s="13" t="s">
        <v>89</v>
      </c>
      <c r="S7" s="11" t="s">
        <v>78</v>
      </c>
      <c r="T7" s="11" t="s">
        <v>31</v>
      </c>
      <c r="U7" s="13" t="n">
        <v>0</v>
      </c>
      <c r="V7" s="13" t="n">
        <v>0</v>
      </c>
      <c r="W7" s="10" t="s">
        <v>90</v>
      </c>
      <c r="X7" s="13" t="s">
        <v>91</v>
      </c>
      <c r="Y7" s="13" t="s">
        <v>92</v>
      </c>
      <c r="AA7" s="16" t="n">
        <v>3</v>
      </c>
      <c r="AB7" s="16" t="s">
        <v>93</v>
      </c>
      <c r="AC7" s="16" t="s">
        <v>83</v>
      </c>
      <c r="AD7" s="16"/>
      <c r="AE7" s="16"/>
      <c r="AF7" s="16" t="n">
        <v>105.8</v>
      </c>
      <c r="AG7" s="16" t="n">
        <v>8</v>
      </c>
      <c r="AH7" s="16"/>
      <c r="AI7" s="16"/>
      <c r="AJ7" s="16" t="s">
        <v>94</v>
      </c>
    </row>
    <row r="8" customFormat="false" ht="15" hidden="false" customHeight="false" outlineLevel="0" collapsed="false">
      <c r="B8" s="10" t="n">
        <f aca="false">ROW()-5</f>
        <v>3</v>
      </c>
      <c r="C8" s="11" t="s">
        <v>73</v>
      </c>
      <c r="D8" s="13" t="n">
        <v>1</v>
      </c>
      <c r="E8" s="13" t="n">
        <v>5</v>
      </c>
      <c r="F8" s="13" t="n">
        <v>20</v>
      </c>
      <c r="G8" s="13"/>
      <c r="H8" s="13" t="n">
        <v>3</v>
      </c>
      <c r="I8" s="14" t="n">
        <f aca="false">I7+IF(ISBLANK(D8),0,D8)</f>
        <v>2</v>
      </c>
      <c r="J8" s="15" t="n">
        <f aca="false">IF(C8="DRIVE",J7+IF(E8&gt;0,D8/E8/24,0),IF(C8="STOP",J7+IF(ISBLANK(G8),0,G8/86400),J7))</f>
        <v>0.670833333333333</v>
      </c>
      <c r="K8" s="13" t="s">
        <v>95</v>
      </c>
      <c r="M8" s="10" t="n">
        <f aca="false">ROW()-5</f>
        <v>3</v>
      </c>
      <c r="N8" s="11" t="s">
        <v>96</v>
      </c>
      <c r="O8" s="13" t="s">
        <v>97</v>
      </c>
      <c r="P8" s="11" t="s">
        <v>87</v>
      </c>
      <c r="Q8" s="11" t="s">
        <v>98</v>
      </c>
      <c r="R8" s="13" t="s">
        <v>99</v>
      </c>
      <c r="S8" s="11" t="s">
        <v>78</v>
      </c>
      <c r="T8" s="11" t="s">
        <v>31</v>
      </c>
      <c r="U8" s="13" t="n">
        <v>30</v>
      </c>
      <c r="V8" s="13" t="n">
        <v>20</v>
      </c>
      <c r="W8" s="10" t="s">
        <v>100</v>
      </c>
      <c r="X8" s="13" t="s">
        <v>101</v>
      </c>
      <c r="Y8" s="13" t="s">
        <v>102</v>
      </c>
      <c r="AA8" s="16" t="n">
        <v>4</v>
      </c>
      <c r="AB8" s="16" t="s">
        <v>103</v>
      </c>
      <c r="AC8" s="16" t="s">
        <v>83</v>
      </c>
      <c r="AD8" s="16"/>
      <c r="AE8" s="16"/>
      <c r="AF8" s="16" t="n">
        <v>200.1</v>
      </c>
      <c r="AG8" s="16" t="n">
        <v>22</v>
      </c>
      <c r="AH8" s="16"/>
      <c r="AI8" s="16"/>
      <c r="AJ8" s="16" t="s">
        <v>104</v>
      </c>
    </row>
    <row r="9" customFormat="false" ht="15" hidden="false" customHeight="false" outlineLevel="0" collapsed="false">
      <c r="B9" s="10" t="n">
        <f aca="false">ROW()-5</f>
        <v>4</v>
      </c>
      <c r="C9" s="11" t="s">
        <v>73</v>
      </c>
      <c r="D9" s="13" t="n">
        <v>1</v>
      </c>
      <c r="E9" s="13" t="n">
        <v>5</v>
      </c>
      <c r="F9" s="13" t="n">
        <v>0</v>
      </c>
      <c r="G9" s="13"/>
      <c r="H9" s="13" t="n">
        <v>4</v>
      </c>
      <c r="I9" s="14" t="n">
        <f aca="false">I8+IF(ISBLANK(D9),0,D9)</f>
        <v>3</v>
      </c>
      <c r="J9" s="15" t="n">
        <f aca="false">IF(C9="DRIVE",J8+IF(E9&gt;0,D9/E9/24,0),IF(C9="STOP",J8+IF(ISBLANK(G9),0,G9/86400),J8))</f>
        <v>0.679166666666667</v>
      </c>
      <c r="K9" s="13" t="s">
        <v>105</v>
      </c>
      <c r="AA9" s="16" t="n">
        <v>5</v>
      </c>
      <c r="AB9" s="16" t="s">
        <v>106</v>
      </c>
      <c r="AC9" s="16" t="s">
        <v>88</v>
      </c>
      <c r="AD9" s="16" t="s">
        <v>97</v>
      </c>
      <c r="AE9" s="16" t="s">
        <v>107</v>
      </c>
      <c r="AF9" s="16"/>
      <c r="AG9" s="16"/>
      <c r="AH9" s="16" t="n">
        <v>30</v>
      </c>
      <c r="AI9" s="16" t="n">
        <v>20</v>
      </c>
      <c r="AJ9" s="16" t="s">
        <v>108</v>
      </c>
    </row>
    <row r="10" customFormat="false" ht="15" hidden="false" customHeight="false" outlineLevel="0" collapsed="false">
      <c r="B10" s="10" t="n">
        <f aca="false">ROW()-5</f>
        <v>5</v>
      </c>
      <c r="C10" s="11" t="s">
        <v>73</v>
      </c>
      <c r="D10" s="13" t="n">
        <v>1</v>
      </c>
      <c r="E10" s="13" t="n">
        <v>5</v>
      </c>
      <c r="F10" s="13" t="n">
        <v>-20</v>
      </c>
      <c r="G10" s="13"/>
      <c r="H10" s="13" t="n">
        <v>5</v>
      </c>
      <c r="I10" s="14" t="n">
        <f aca="false">I9+IF(ISBLANK(D10),0,D10)</f>
        <v>4</v>
      </c>
      <c r="J10" s="15" t="n">
        <f aca="false">IF(C10="DRIVE",J9+IF(E10&gt;0,D10/E10/24,0),IF(C10="STOP",J9+IF(ISBLANK(G10),0,G10/86400),J9))</f>
        <v>0.6875</v>
      </c>
      <c r="K10" s="13" t="s">
        <v>109</v>
      </c>
      <c r="AA10" s="16" t="n">
        <v>6</v>
      </c>
      <c r="AB10" s="16" t="s">
        <v>110</v>
      </c>
      <c r="AC10" s="16" t="s">
        <v>88</v>
      </c>
      <c r="AD10" s="16" t="s">
        <v>111</v>
      </c>
      <c r="AE10" s="16" t="s">
        <v>112</v>
      </c>
      <c r="AF10" s="16"/>
      <c r="AG10" s="16"/>
      <c r="AH10" s="16" t="n">
        <v>-5</v>
      </c>
      <c r="AI10" s="16" t="n">
        <v>-3</v>
      </c>
      <c r="AJ10" s="16" t="s">
        <v>113</v>
      </c>
    </row>
    <row r="11" customFormat="false" ht="15" hidden="false" customHeight="false" outlineLevel="0" collapsed="false">
      <c r="B11" s="10" t="n">
        <f aca="false">ROW()-5</f>
        <v>6</v>
      </c>
      <c r="C11" s="11" t="s">
        <v>73</v>
      </c>
      <c r="D11" s="13" t="n">
        <v>2.67</v>
      </c>
      <c r="E11" s="13" t="n">
        <v>5</v>
      </c>
      <c r="F11" s="13" t="n">
        <v>0</v>
      </c>
      <c r="G11" s="13"/>
      <c r="H11" s="13" t="n">
        <v>6</v>
      </c>
      <c r="I11" s="14" t="n">
        <f aca="false">I10+IF(ISBLANK(D11),0,D11)</f>
        <v>6.67</v>
      </c>
      <c r="J11" s="15" t="n">
        <f aca="false">IF(C11="DRIVE",J10+IF(E11&gt;0,D11/E11/24,0),IF(C11="STOP",J10+IF(ISBLANK(G11),0,G11/86400),J10))</f>
        <v>0.70975</v>
      </c>
      <c r="K11" s="13" t="s">
        <v>114</v>
      </c>
    </row>
    <row r="12" customFormat="false" ht="15" hidden="false" customHeight="false" outlineLevel="0" collapsed="false">
      <c r="B12" s="10" t="n">
        <f aca="false">ROW()-5</f>
        <v>7</v>
      </c>
      <c r="C12" s="11" t="s">
        <v>115</v>
      </c>
      <c r="D12" s="13"/>
      <c r="E12" s="13" t="n">
        <v>0</v>
      </c>
      <c r="F12" s="13"/>
      <c r="G12" s="13" t="n">
        <v>0</v>
      </c>
      <c r="H12" s="13"/>
      <c r="I12" s="14" t="n">
        <f aca="false">I11+IF(ISBLANK(D12),0,D12)</f>
        <v>6.67</v>
      </c>
      <c r="J12" s="15" t="n">
        <f aca="false">IF(C12="DRIVE",J11+IF(E12&gt;0,D12/E12/24,0),IF(C12="STOP",J11+IF(ISBLANK(G12),0,G12/86400),J11))</f>
        <v>0.70975</v>
      </c>
      <c r="K12" s="13" t="s">
        <v>116</v>
      </c>
    </row>
    <row r="16" customFormat="false" ht="15" hidden="false" customHeight="false" outlineLevel="0" collapsed="false">
      <c r="B16" s="2" t="s">
        <v>117</v>
      </c>
    </row>
    <row r="17" customFormat="false" ht="15" hidden="false" customHeight="false" outlineLevel="0" collapsed="false">
      <c r="B17" s="17" t="s">
        <v>118</v>
      </c>
      <c r="C17" s="0" t="s">
        <v>119</v>
      </c>
    </row>
    <row r="18" customFormat="false" ht="15" hidden="false" customHeight="false" outlineLevel="0" collapsed="false">
      <c r="B18" s="18" t="s">
        <v>120</v>
      </c>
      <c r="C18" s="0" t="s">
        <v>121</v>
      </c>
    </row>
    <row r="19" customFormat="false" ht="15" hidden="false" customHeight="false" outlineLevel="0" collapsed="false">
      <c r="B19" s="19" t="s">
        <v>122</v>
      </c>
      <c r="C19" s="0" t="s">
        <v>123</v>
      </c>
    </row>
    <row r="22" customFormat="false" ht="15" hidden="false" customHeight="false" outlineLevel="0" collapsed="false">
      <c r="B22" s="2" t="s">
        <v>124</v>
      </c>
    </row>
    <row r="23" customFormat="false" ht="15" hidden="false" customHeight="false" outlineLevel="0" collapsed="false">
      <c r="B23" s="0" t="s">
        <v>125</v>
      </c>
    </row>
    <row r="24" customFormat="false" ht="15" hidden="false" customHeight="false" outlineLevel="0" collapsed="false">
      <c r="B24" s="0" t="s">
        <v>126</v>
      </c>
    </row>
    <row r="25" customFormat="false" ht="15" hidden="false" customHeight="false" outlineLevel="0" collapsed="false">
      <c r="B25" s="0" t="s">
        <v>127</v>
      </c>
    </row>
    <row r="26" customFormat="false" ht="15" hidden="false" customHeight="false" outlineLevel="0" collapsed="false">
      <c r="B26" s="0" t="s">
        <v>128</v>
      </c>
    </row>
    <row r="27" customFormat="false" ht="15" hidden="false" customHeight="false" outlineLevel="0" collapsed="false">
      <c r="B27" s="0" t="s">
        <v>129</v>
      </c>
    </row>
    <row r="28" customFormat="false" ht="15" hidden="false" customHeight="false" outlineLevel="0" collapsed="false">
      <c r="B28" s="0" t="s">
        <v>130</v>
      </c>
    </row>
  </sheetData>
  <mergeCells count="3">
    <mergeCell ref="B3:K3"/>
    <mergeCell ref="M3:Y3"/>
    <mergeCell ref="AA3:AJ3"/>
  </mergeCells>
  <dataValidations count="6">
    <dataValidation allowBlank="true" errorStyle="stop" operator="between" showDropDown="false" showErrorMessage="false" showInputMessage="false" sqref="C6:C30" type="list">
      <formula1>"DRIVE,STOP,TURN,WAYPOINT,HOLD"</formula1>
      <formula2>0</formula2>
    </dataValidation>
    <dataValidation allowBlank="true" errorStyle="stop" operator="between" showDropDown="false" showErrorMessage="false" showInputMessage="false" sqref="N6:N30" type="list">
      <formula1>"WP,TIME,ASTRO"</formula1>
      <formula2>0</formula2>
    </dataValidation>
    <dataValidation allowBlank="true" errorStyle="stop" operator="between" showDropDown="false" showErrorMessage="false" showInputMessage="false" sqref="P6:P30" type="list">
      <formula1>"Pan Follow,Approach,Lock"</formula1>
      <formula2>0</formula2>
    </dataValidation>
    <dataValidation allowBlank="true" errorStyle="stop" operator="between" showDropDown="false" showErrorMessage="false" showInputMessage="false" sqref="Q6:Q30" type="list">
      <formula1>"pose,log-label,pose-offset,sun,moon,mw,sunrise,sunset,moonrise,moonset"</formula1>
      <formula2>0</formula2>
    </dataValidation>
    <dataValidation allowBlank="true" errorStyle="stop" operator="between" showDropDown="false" showErrorMessage="false" showInputMessage="false" sqref="S6:S30" type="list">
      <formula1>"rise,mid,end"</formula1>
      <formula2>0</formula2>
    </dataValidation>
    <dataValidation allowBlank="true" errorStyle="stop" operator="between" showDropDown="false" showErrorMessage="false" showInputMessage="false" sqref="T6:T30" type="list">
      <formula1>"Imperceptible,Cinematic ease,Deliberate pan,Fast,Snap,Computed"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2026-05-25T11:09:41Z</dcterms:created>
  <dc:creator>openpyxl</dc:creator>
  <dc:description/>
  <dc:language>en-US</dc:language>
  <cp:lastModifiedBy/>
  <dcterms:modified xsi:type="dcterms:W3CDTF">2026-05-25T11:09:41Z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