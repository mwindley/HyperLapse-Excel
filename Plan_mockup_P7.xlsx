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lan" sheetId="2" state="visible" r:id="rId2"/>
  </sheets>
  <definedNames>
    <definedName name="dataMoonriseTime" hidden="0" function="0" vbProcedure="0">Settings!$B$9</definedName>
    <definedName name="dataMoonsetTime" hidden="0" function="0" vbProcedure="0">Settings!$B$10</definedName>
    <definedName name="dataMWRiseTime" hidden="0" function="0" vbProcedure="0">Settings!$B$11</definedName>
    <definedName name="dataMWSetTime" hidden="0" function="0" vbProcedure="0">Settings!$B$13</definedName>
    <definedName name="dataMWTransitTime" hidden="0" function="0" vbProcedure="0">Settings!$B$12</definedName>
    <definedName name="dataShootStart" hidden="0" function="0" vbProcedure="0">Settings!$B$4</definedName>
    <definedName name="dataSunriseTime" hidden="0" function="0" vbProcedure="0">Settings!$B$8</definedName>
    <definedName name="dataSunsetTime" hidden="0" function="0" vbProcedure="0">Settings!$B$7</definedName>
    <definedName name="gimbalYawEnvelopeMax" hidden="0" function="0" vbProcedure="0">Settings!$B$27</definedName>
    <definedName name="gimbalYawEnvelopeMin" hidden="0" function="0" vbProcedure="0">Settings!$B$26</definedName>
    <definedName name="rateCinematicEase" hidden="0" function="0" vbProcedure="0">Settings!$B$19</definedName>
    <definedName name="rateDeliberatePan" hidden="0" function="0" vbProcedure="0">Settings!$B$20</definedName>
    <definedName name="rateFast" hidden="0" function="0" vbProcedure="0">Settings!$B$21</definedName>
    <definedName name="rateImperceptible" hidden="0" function="0" vbProcedure="0">Settings!$B$18</definedName>
    <definedName name="rateSnapDur" hidden="0" function="0" vbProcedure="0">Settings!$C$22</definedName>
    <definedName name="dataEaseJustPerceptible">Settings!$B$30</definedName>
    <definedName name="dataEaseComfortable">Settings!$B$31</definedName>
    <definedName name="dataEaseCinematic">Settings!$B$32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hh:mm:ss"/>
    <numFmt numFmtId="165" formatCode="0.000"/>
    <numFmt numFmtId="166" formatCode="hh:mm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i val="1"/>
      <sz val="11"/>
    </font>
    <font/>
    <font>
      <b val="1"/>
    </font>
    <font>
      <b val="1"/>
      <i val="1"/>
    </font>
    <font>
      <i val="1"/>
    </font>
  </fonts>
  <fills count="14">
    <fill>
      <patternFill/>
    </fill>
    <fill>
      <patternFill patternType="gray125"/>
    </fill>
    <fill>
      <patternFill patternType="solid">
        <fgColor rgb="FFD6E5C8"/>
        <bgColor rgb="FFDDDDDD"/>
      </patternFill>
    </fill>
    <fill>
      <patternFill patternType="solid">
        <fgColor rgb="FFC8D8E5"/>
        <bgColor rgb="FFDDDDDD"/>
      </patternFill>
    </fill>
    <fill>
      <patternFill patternType="solid">
        <fgColor rgb="FFE5D8C8"/>
        <bgColor rgb="FFDDDDDD"/>
      </patternFill>
    </fill>
    <fill>
      <patternFill patternType="solid">
        <fgColor rgb="FFF5F5F5"/>
        <bgColor rgb="FFF0F0F0"/>
      </patternFill>
    </fill>
    <fill>
      <patternFill patternType="solid">
        <fgColor rgb="FFDDDDDD"/>
        <bgColor rgb="FFE5D8C8"/>
      </patternFill>
    </fill>
    <fill>
      <patternFill patternType="solid">
        <fgColor rgb="FFFFFFEE"/>
        <bgColor rgb="FFF5F5F5"/>
      </patternFill>
    </fill>
    <fill>
      <patternFill patternType="solid">
        <fgColor rgb="FFE8E8E8"/>
        <bgColor rgb="FFF0F0F0"/>
      </patternFill>
    </fill>
    <fill>
      <patternFill patternType="solid">
        <fgColor rgb="FFF0F0F0"/>
        <bgColor rgb="FFF5F5F5"/>
      </patternFill>
    </fill>
    <fill>
      <patternFill patternType="solid">
        <fgColor rgb="FFDDDDDD"/>
      </patternFill>
    </fill>
    <fill>
      <patternFill patternType="solid">
        <fgColor rgb="FFF5F5F5"/>
      </patternFill>
    </fill>
    <fill>
      <patternFill patternType="solid">
        <fgColor rgb="FFFFFFEE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center" vertical="bottom"/>
    </xf>
    <xf numFmtId="165" fontId="0" fillId="5" borderId="1" applyAlignment="1" pivotButton="0" quotePrefix="0" xfId="0">
      <alignment horizontal="center" vertical="bottom"/>
    </xf>
    <xf numFmtId="164" fontId="0" fillId="5" borderId="1" applyAlignment="1" pivotButton="0" quotePrefix="0" xfId="0">
      <alignment horizontal="center" vertical="bottom"/>
    </xf>
    <xf numFmtId="0" fontId="0" fillId="9" borderId="1" applyAlignment="1" pivotButton="0" quotePrefix="0" xfId="0">
      <alignment horizontal="center" vertical="bottom"/>
    </xf>
    <xf numFmtId="0" fontId="0" fillId="7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8" fillId="10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5" fillId="6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7" fillId="0" borderId="1" pivotButton="0" quotePrefix="0" xfId="0"/>
    <xf numFmtId="0" fontId="0" fillId="5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center" vertical="bottom"/>
    </xf>
    <xf numFmtId="165" fontId="0" fillId="5" borderId="1" applyAlignment="1" pivotButton="0" quotePrefix="0" xfId="0">
      <alignment horizontal="center" vertical="bottom"/>
    </xf>
    <xf numFmtId="164" fontId="0" fillId="5" borderId="1" applyAlignment="1" pivotButton="0" quotePrefix="0" xfId="0">
      <alignment horizontal="center" vertical="bottom"/>
    </xf>
    <xf numFmtId="0" fontId="7" fillId="12" borderId="1" pivotButton="0" quotePrefix="0" xfId="0"/>
    <xf numFmtId="166" fontId="7" fillId="11" borderId="1" pivotButton="0" quotePrefix="0" xfId="0"/>
    <xf numFmtId="0" fontId="0" fillId="7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9" borderId="1" applyAlignment="1" pivotButton="0" quotePrefix="0" xfId="0">
      <alignment horizontal="center" vertical="bottom"/>
    </xf>
    <xf numFmtId="0" fontId="7" fillId="0" borderId="0" pivotButton="0" quotePrefix="0" xfId="0"/>
    <xf numFmtId="0" fontId="0" fillId="7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9" fillId="0" borderId="0" pivotButton="0" quotePrefix="0" xfId="0"/>
    <xf numFmtId="0" fontId="10" fillId="0" borderId="0" pivotButton="0" quotePrefix="0" xfId="0"/>
    <xf numFmtId="0" fontId="8" fillId="13" borderId="0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7" fillId="11" borderId="1" pivotButton="0" quotePrefix="0" xfId="0"/>
    <xf numFmtId="0" fontId="7" fillId="11" borderId="0" applyAlignment="1" pivotButton="0" quotePrefix="0" xfId="0">
      <alignment horizontal="center"/>
    </xf>
    <xf numFmtId="0" fontId="7" fillId="12" borderId="0" pivotButton="0" quotePrefix="0" xfId="0"/>
    <xf numFmtId="166" fontId="7" fillId="11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9999FF"/>
      <rgbColor rgb="FF993366"/>
      <rgbColor rgb="FFF5F5F5"/>
      <rgbColor rgb="FFF0F0F0"/>
      <rgbColor rgb="FF660066"/>
      <rgbColor rgb="FFFF8080"/>
      <rgbColor rgb="FF0066CC"/>
      <rgbColor rgb="FFC8D8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6E5C8"/>
      <rgbColor rgb="FFFFFF99"/>
      <rgbColor rgb="FF99CCFF"/>
      <rgbColor rgb="FFFF99CC"/>
      <rgbColor rgb="FFCC99FF"/>
      <rgbColor rgb="FFE5D8C8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0" min="1" max="1"/>
    <col width="14" customWidth="1" style="20" min="2" max="2"/>
    <col width="16" customWidth="1" style="20" min="3" max="3"/>
    <col width="60" customWidth="1" style="20" min="4" max="4"/>
  </cols>
  <sheetData>
    <row r="1" ht="17.35" customHeight="1" s="21">
      <c r="A1" s="22" t="inlineStr">
        <is>
          <t>Plan Authoring — Settings</t>
        </is>
      </c>
    </row>
    <row r="3" ht="15" customHeight="1" s="21">
      <c r="A3" s="23" t="inlineStr">
        <is>
          <t>Shoot start anchor</t>
        </is>
      </c>
    </row>
    <row r="4" ht="15" customHeight="1" s="21">
      <c r="A4" s="20" t="inlineStr">
        <is>
          <t>dataShootStart</t>
        </is>
      </c>
      <c r="B4" s="24" t="n">
        <v>0.6541666666666667</v>
      </c>
      <c r="C4" s="20" t="inlineStr">
        <is>
          <t>Wall-clock time when cart starts (Way01). All Plan times computed from here.</t>
        </is>
      </c>
    </row>
    <row r="6" ht="15" customHeight="1" s="21">
      <c r="A6" s="23" t="inlineStr">
        <is>
          <t>Astro events (placeholders; pushed from Astro.bas in production)</t>
        </is>
      </c>
    </row>
    <row r="7" ht="15" customHeight="1" s="21">
      <c r="A7" s="20" t="inlineStr">
        <is>
          <t>dataSunsetTime</t>
        </is>
      </c>
      <c r="B7" s="24" t="n">
        <v>0.7375</v>
      </c>
      <c r="C7" s="20" t="inlineStr">
        <is>
          <t>T0 reference for the demo plan</t>
        </is>
      </c>
    </row>
    <row r="8" ht="15" customHeight="1" s="21">
      <c r="A8" s="20" t="inlineStr">
        <is>
          <t>dataSunriseTime</t>
        </is>
      </c>
      <c r="B8" s="24" t="n">
        <v>0.2625</v>
      </c>
    </row>
    <row r="9" ht="15" customHeight="1" s="21">
      <c r="A9" s="20" t="inlineStr">
        <is>
          <t>dataMoonriseTime</t>
        </is>
      </c>
      <c r="B9" s="24" t="n">
        <v>0.8784722222222222</v>
      </c>
    </row>
    <row r="10" ht="15" customHeight="1" s="21">
      <c r="A10" s="20" t="inlineStr">
        <is>
          <t>dataMoonsetTime</t>
        </is>
      </c>
      <c r="B10" s="24" t="n">
        <v>0.3541666666666667</v>
      </c>
    </row>
    <row r="11" ht="15" customHeight="1" s="21">
      <c r="A11" s="20" t="inlineStr">
        <is>
          <t>dataMWRiseTime</t>
        </is>
      </c>
      <c r="B11" s="24" t="n">
        <v>0.9375</v>
      </c>
      <c r="C11" s="20" t="inlineStr">
        <is>
          <t>MW core rises (location-dependent)</t>
        </is>
      </c>
    </row>
    <row r="12" ht="15" customHeight="1" s="21">
      <c r="A12" s="20" t="inlineStr">
        <is>
          <t>dataMWTransitTime</t>
        </is>
      </c>
      <c r="B12" s="24" t="n">
        <v>0.09375</v>
      </c>
      <c r="C12" s="20" t="inlineStr">
        <is>
          <t>MW core transit</t>
        </is>
      </c>
    </row>
    <row r="13" ht="15" customHeight="1" s="21">
      <c r="A13" s="20" t="inlineStr">
        <is>
          <t>dataMWSetTime</t>
        </is>
      </c>
      <c r="B13" s="24" t="n">
        <v>0.25</v>
      </c>
      <c r="C13" s="20" t="inlineStr">
        <is>
          <t>MW core sets</t>
        </is>
      </c>
    </row>
    <row r="16" ht="15" customHeight="1" s="21">
      <c r="A16" s="23" t="inlineStr">
        <is>
          <t>Rate vocabulary (°/sec)</t>
        </is>
      </c>
    </row>
    <row r="17" ht="15" customHeight="1" s="21">
      <c r="A17" s="23" t="inlineStr">
        <is>
          <t>Rate name</t>
        </is>
      </c>
      <c r="B17" s="23" t="inlineStr">
        <is>
          <t>°/sec</t>
        </is>
      </c>
      <c r="C17" s="23" t="inlineStr">
        <is>
          <t>Snap dur (sec)</t>
        </is>
      </c>
      <c r="D17" s="23" t="inlineStr">
        <is>
          <t>Notes</t>
        </is>
      </c>
    </row>
    <row r="18" ht="15" customHeight="1" s="21">
      <c r="A18" s="20" t="inlineStr">
        <is>
          <t>Imperceptible</t>
        </is>
      </c>
      <c r="B18" s="20" t="n">
        <v>0.004</v>
      </c>
      <c r="D18" s="20" t="inlineStr">
        <is>
          <t>Astro drift territory</t>
        </is>
      </c>
    </row>
    <row r="19" ht="15" customHeight="1" s="21">
      <c r="A19" s="20" t="inlineStr">
        <is>
          <t>Cinematic ease</t>
        </is>
      </c>
      <c r="B19" s="20" t="n">
        <v>0.05</v>
      </c>
      <c r="D19" s="20" t="inlineStr">
        <is>
          <t>Comfortable; default for most moves</t>
        </is>
      </c>
    </row>
    <row r="20" ht="15" customHeight="1" s="21">
      <c r="A20" s="20" t="inlineStr">
        <is>
          <t>Deliberate pan</t>
        </is>
      </c>
      <c r="B20" s="20" t="n">
        <v>0.15</v>
      </c>
      <c r="D20" s="20" t="inlineStr">
        <is>
          <t>Operator-pan feel</t>
        </is>
      </c>
    </row>
    <row r="21" ht="15" customHeight="1" s="21">
      <c r="A21" s="20" t="inlineStr">
        <is>
          <t>Fast</t>
        </is>
      </c>
      <c r="B21" s="20" t="n">
        <v>0.3</v>
      </c>
      <c r="D21" s="20" t="inlineStr">
        <is>
          <t>Punchy; approaches red on chart</t>
        </is>
      </c>
    </row>
    <row r="22" ht="15" customHeight="1" s="21">
      <c r="A22" s="20" t="inlineStr">
        <is>
          <t>Snap</t>
        </is>
      </c>
      <c r="C22" s="20" t="n">
        <v>3</v>
      </c>
      <c r="D22" s="20" t="inlineStr">
        <is>
          <t>Near-instant; fixed duration regardless of distance</t>
        </is>
      </c>
    </row>
    <row r="25" ht="15" customHeight="1" s="21">
      <c r="A25" s="23" t="inlineStr">
        <is>
          <t>Yaw envelope (cumulative; ±225° default)</t>
        </is>
      </c>
    </row>
    <row r="26" ht="15" customHeight="1" s="21">
      <c r="A26" s="20" t="inlineStr">
        <is>
          <t>gimbalYawEnvelopeMin</t>
        </is>
      </c>
      <c r="B26" s="20" t="n">
        <v>-225</v>
      </c>
    </row>
    <row r="27" ht="15" customHeight="1" s="21">
      <c r="A27" s="20" t="inlineStr">
        <is>
          <t>gimbalYawEnvelopeMax</t>
        </is>
      </c>
      <c r="B27" s="20" t="n">
        <v>225</v>
      </c>
    </row>
    <row r="29">
      <c r="A29" s="48" t="inlineStr">
        <is>
          <t>Ease band durations (audience frames at 60fps)</t>
        </is>
      </c>
    </row>
    <row r="30">
      <c r="A30" s="20" t="inlineStr">
        <is>
          <t>dataEaseJustPerceptible</t>
        </is>
      </c>
      <c r="B30" s="20" t="n">
        <v>3</v>
      </c>
      <c r="C30" s="20" t="inlineStr">
        <is>
          <t>Frames — ~3 = abrupt but noticed</t>
        </is>
      </c>
    </row>
    <row r="31">
      <c r="A31" s="20" t="inlineStr">
        <is>
          <t>dataEaseComfortable</t>
        </is>
      </c>
      <c r="B31" s="20" t="n">
        <v>10</v>
      </c>
      <c r="C31" s="20" t="inlineStr">
        <is>
          <t>Frames — comfortable cinematic</t>
        </is>
      </c>
    </row>
    <row r="32">
      <c r="A32" s="20" t="inlineStr">
        <is>
          <t>dataEaseCinematic</t>
        </is>
      </c>
      <c r="B32" s="20" t="n">
        <v>30</v>
      </c>
      <c r="C32" s="20" t="inlineStr">
        <is>
          <t>Frames — slow, deliberate</t>
        </is>
      </c>
    </row>
    <row r="34">
      <c r="A34" s="49" t="inlineStr">
        <is>
          <t>NB: real-world ease duration = frames × cadence_sec (cadence depends on Tv at fire-time)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AM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2" max="2"/>
    <col width="9" customWidth="1" style="20" min="3" max="4"/>
    <col width="11" customWidth="1" style="20" min="5" max="5"/>
    <col width="8" customWidth="1" style="20" min="6" max="6"/>
    <col width="7" customWidth="1" style="20" min="7" max="7"/>
    <col width="6" customWidth="1" style="20" min="8" max="8"/>
    <col width="10" customWidth="1" style="20" min="9" max="10"/>
    <col width="38" customWidth="1" style="20" min="11" max="11"/>
    <col width="2" customWidth="1" style="20" min="12" max="12"/>
    <col width="7" customWidth="1" style="20" min="13" max="13"/>
    <col width="11" customWidth="1" style="20" min="14" max="14"/>
    <col width="11" customWidth="1" style="20" min="15" max="15"/>
    <col width="9" customWidth="1" style="20" min="16" max="16"/>
    <col width="9" customWidth="1" style="20" min="17" max="17"/>
    <col width="9" customWidth="1" style="20" min="18" max="18"/>
    <col width="12" customWidth="1" style="20" min="19" max="19"/>
    <col width="10" customWidth="1" style="20" min="20" max="20"/>
    <col width="14" customWidth="1" style="20" min="21" max="23"/>
    <col width="8" customWidth="1" style="21" min="22" max="22"/>
    <col width="8" customWidth="1" style="21" min="23" max="23"/>
    <col width="8" customWidth="1" style="20" min="24" max="24"/>
    <col width="8" customWidth="1" style="20" min="25" max="25"/>
    <col width="16" customWidth="1" style="20" min="26" max="26"/>
    <col width="8" customWidth="1" style="20" min="27" max="27"/>
    <col width="32" customWidth="1" style="20" min="28" max="28"/>
    <col width="10" customWidth="1" style="20" min="29" max="29"/>
    <col width="9" customWidth="1" style="20" min="30" max="30"/>
    <col width="10" customWidth="1" style="20" min="31" max="31"/>
    <col width="8" customWidth="1" style="20" min="32" max="32"/>
    <col width="10" customWidth="1" style="20" min="33" max="35"/>
    <col width="6" customWidth="1" style="21" min="34" max="34"/>
    <col width="8" customWidth="1" style="21" min="35" max="35"/>
    <col width="9" customWidth="1" style="20" min="36" max="36"/>
    <col width="10" customWidth="1" style="21" min="37" max="37"/>
    <col width="10" customWidth="1" style="21" min="38" max="38"/>
    <col width="28" customWidth="1" style="21" min="39" max="39"/>
  </cols>
  <sheetData>
    <row r="1" ht="21.75" customHeight="1" s="21">
      <c r="B1" s="22" t="inlineStr">
        <is>
          <t>PLAN — combined cart + gimbal authoring surface</t>
        </is>
      </c>
    </row>
    <row r="3" ht="19.5" customHeight="1" s="21">
      <c r="B3" s="25" t="inlineStr">
        <is>
          <t>LEFT — Cart Plan (editable)</t>
        </is>
      </c>
      <c r="M3" s="50" t="inlineStr">
        <is>
          <t>MIDDLE — Gimbal Plan (editable)</t>
        </is>
      </c>
    </row>
    <row r="5" ht="27.75" customHeight="1" s="21">
      <c r="B5" s="32" t="inlineStr">
        <is>
          <t>Step</t>
        </is>
      </c>
      <c r="C5" s="31" t="inlineStr">
        <is>
          <t>Action</t>
        </is>
      </c>
      <c r="D5" s="31" t="inlineStr">
        <is>
          <t>Dist (m)</t>
        </is>
      </c>
      <c r="E5" s="31" t="inlineStr">
        <is>
          <t>Speed (m/hr)</t>
        </is>
      </c>
      <c r="F5" s="31" t="inlineStr">
        <is>
          <t>Turn (°)</t>
        </is>
      </c>
      <c r="G5" s="31" t="inlineStr">
        <is>
          <t>Hold (s)</t>
        </is>
      </c>
      <c r="H5" s="31" t="n"/>
      <c r="I5" s="32" t="inlineStr">
        <is>
          <t>Dist Σ (m)</t>
        </is>
      </c>
      <c r="J5" s="32" t="inlineStr">
        <is>
          <t>Arrives</t>
        </is>
      </c>
      <c r="K5" s="31" t="inlineStr">
        <is>
          <t>Note</t>
        </is>
      </c>
      <c r="M5" s="30" t="inlineStr">
        <is>
          <t>Step</t>
        </is>
      </c>
      <c r="N5" s="29" t="inlineStr">
        <is>
          <t>Anchor type</t>
        </is>
      </c>
      <c r="O5" s="29" t="inlineStr">
        <is>
          <t>Anchor ref</t>
        </is>
      </c>
      <c r="P5" s="29" t="inlineStr">
        <is>
          <t>Offset (min)</t>
        </is>
      </c>
      <c r="Q5" s="30" t="inlineStr">
        <is>
          <t>Fires at</t>
        </is>
      </c>
      <c r="R5" s="30" t="inlineStr">
        <is>
          <t>Total dur</t>
        </is>
      </c>
      <c r="S5" s="29" t="inlineStr">
        <is>
          <t>Action</t>
        </is>
      </c>
      <c r="T5" s="29" t="inlineStr">
        <is>
          <t>Target</t>
        </is>
      </c>
      <c r="U5" s="29" t="inlineStr">
        <is>
          <t>Rate</t>
        </is>
      </c>
      <c r="V5" s="29" t="inlineStr">
        <is>
          <t>Ry (°)</t>
        </is>
      </c>
      <c r="W5" s="29" t="inlineStr">
        <is>
          <t>Rp (°)</t>
        </is>
      </c>
      <c r="X5" s="29" t="inlineStr">
        <is>
          <t>Δyaw (°)</t>
        </is>
      </c>
      <c r="Y5" s="29" t="inlineStr">
        <is>
          <t>Δpitch (°)</t>
        </is>
      </c>
      <c r="Z5" s="29" t="inlineStr">
        <is>
          <t>Ease</t>
        </is>
      </c>
      <c r="AA5" s="30" t="inlineStr">
        <is>
          <t>Move t</t>
        </is>
      </c>
      <c r="AB5" s="29" t="inlineStr">
        <is>
          <t>Note</t>
        </is>
      </c>
      <c r="AC5" s="33" t="n"/>
      <c r="AD5" s="31" t="inlineStr">
        <is>
          <t>Log row#</t>
        </is>
      </c>
      <c r="AE5" s="31" t="inlineStr">
        <is>
          <t>Time</t>
        </is>
      </c>
      <c r="AF5" s="31" t="inlineStr">
        <is>
          <t>Type</t>
        </is>
      </c>
      <c r="AG5" s="31" t="inlineStr">
        <is>
          <t>Astro tgt</t>
        </is>
      </c>
      <c r="AH5" s="31" t="inlineStr">
        <is>
          <t>KF</t>
        </is>
      </c>
      <c r="AI5" s="31" t="inlineStr">
        <is>
          <t>Ry (°)</t>
        </is>
      </c>
      <c r="AJ5" s="31" t="inlineStr">
        <is>
          <t>Pitch (°)</t>
        </is>
      </c>
      <c r="AK5" s="31" t="inlineStr">
        <is>
          <t>Δyaw (°)</t>
        </is>
      </c>
      <c r="AL5" s="31" t="inlineStr">
        <is>
          <t>Δpitch (°)</t>
        </is>
      </c>
      <c r="AM5" s="31" t="inlineStr">
        <is>
          <t>Label</t>
        </is>
      </c>
    </row>
    <row r="6" ht="15" customHeight="1" s="21">
      <c r="B6" s="42">
        <f>"WP" &amp; TEXT(ROW()-5,"00")</f>
        <v/>
      </c>
      <c r="C6" s="41" t="inlineStr">
        <is>
          <t>DRIVE</t>
        </is>
      </c>
      <c r="D6" s="36" t="n"/>
      <c r="E6" s="36" t="n"/>
      <c r="F6" s="36" t="n"/>
      <c r="G6" s="36" t="n"/>
      <c r="H6" s="41" t="n"/>
      <c r="I6" s="37">
        <f>IF(ISBLANK(D6),0,D6)</f>
        <v/>
      </c>
      <c r="J6" s="38">
        <f>dataShootStart</f>
        <v/>
      </c>
      <c r="K6" s="41" t="inlineStr">
        <is>
          <t>Way01 start</t>
        </is>
      </c>
      <c r="M6" s="51">
        <f>"GP" &amp; TEXT(ROW()-5,"00")</f>
        <v/>
      </c>
      <c r="N6" s="39" t="inlineStr">
        <is>
          <t>WP</t>
        </is>
      </c>
      <c r="O6" s="39" t="inlineStr">
        <is>
          <t>WP01</t>
        </is>
      </c>
      <c r="P6" s="39" t="n"/>
      <c r="Q6" s="40">
        <f>IF(N6="WP",INDEX($J$6:$J$20,MATCH(O6,$B$6:$B$20,0))+IFERROR(P6,0)/1440,IF(N6="TIME",IFERROR(TIMEVALUE(O6),"")+IFERROR(P6,0)/1440,IF(N6="ASTRO",IF(O6="sunset",dataSunsetTime,IF(O6="sunrise",dataSunriseTime,IF(O6="moonrise",dataMoonriseTime,IF(O6="moonset",dataMoonsetTime,IF(O6="mwrise",dataMWRiseTime,IF(O6="mwtransit",dataMWTransitTime,IF(O6="mwset",dataMWSetTime,"")))))))+IFERROR(P6,0)/1440,"")))</f>
        <v/>
      </c>
      <c r="R6" s="40">
        <f>IF(OR(Q6="",Q7=""),"",Q7-Q6)</f>
        <v/>
      </c>
      <c r="S6" s="39" t="inlineStr">
        <is>
          <t>Pan Follow</t>
        </is>
      </c>
      <c r="T6" s="39" t="inlineStr">
        <is>
          <t>—</t>
        </is>
      </c>
      <c r="U6" s="39" t="inlineStr">
        <is>
          <t>Computed</t>
        </is>
      </c>
      <c r="V6" s="39" t="inlineStr">
        <is>
          <t>—</t>
        </is>
      </c>
      <c r="W6" s="39" t="inlineStr">
        <is>
          <t>—</t>
        </is>
      </c>
      <c r="X6" s="39" t="n">
        <v>0</v>
      </c>
      <c r="Y6" s="39" t="n">
        <v>0</v>
      </c>
      <c r="Z6" s="39" t="inlineStr">
        <is>
          <t>none</t>
        </is>
      </c>
      <c r="AA6" s="52" t="inlineStr">
        <is>
          <t>—</t>
        </is>
      </c>
      <c r="AB6" s="39" t="inlineStr">
        <is>
          <t>Follow cart heading during S-bend (cart frame)</t>
        </is>
      </c>
      <c r="AC6" s="33" t="n"/>
      <c r="AD6" s="43" t="n">
        <v>2</v>
      </c>
      <c r="AE6" s="43" t="inlineStr">
        <is>
          <t>14:32:17</t>
        </is>
      </c>
      <c r="AF6" s="43" t="inlineStr">
        <is>
          <t>marker</t>
        </is>
      </c>
      <c r="AG6" s="43" t="n"/>
      <c r="AH6" s="43" t="n"/>
      <c r="AI6" s="43" t="n">
        <v>47.3</v>
      </c>
      <c r="AJ6" s="43" t="n">
        <v>12</v>
      </c>
      <c r="AK6" s="43" t="n"/>
      <c r="AL6" s="43" t="n"/>
      <c r="AM6" s="43" t="inlineStr">
        <is>
          <t>Tree</t>
        </is>
      </c>
    </row>
    <row r="7" ht="15" customHeight="1" s="21">
      <c r="B7" s="42">
        <f>"WP" &amp; TEXT(ROW()-5,"00")</f>
        <v/>
      </c>
      <c r="C7" s="41" t="inlineStr">
        <is>
          <t>DRIVE</t>
        </is>
      </c>
      <c r="D7" s="41" t="n">
        <v>1</v>
      </c>
      <c r="E7" s="41" t="n">
        <v>5</v>
      </c>
      <c r="F7" s="41" t="n">
        <v>0</v>
      </c>
      <c r="G7" s="41" t="n"/>
      <c r="H7" s="41" t="n"/>
      <c r="I7" s="37">
        <f>I6+IF(ISBLANK(D7),0,D7)</f>
        <v/>
      </c>
      <c r="J7" s="38">
        <f>IF(C7="DRIVE",J6+IF(E7&gt;0,D7/E7/24,0),IF(C7="STOP",J6+IF(ISBLANK(G7),0,G7/86400),J6))</f>
        <v/>
      </c>
      <c r="K7" s="41" t="inlineStr">
        <is>
          <t>Way02</t>
        </is>
      </c>
      <c r="M7" s="51">
        <f>"GP" &amp; TEXT(ROW()-5,"00")</f>
        <v/>
      </c>
      <c r="N7" s="39" t="inlineStr">
        <is>
          <t>WP</t>
        </is>
      </c>
      <c r="O7" s="39" t="inlineStr">
        <is>
          <t>WP05</t>
        </is>
      </c>
      <c r="P7" s="39" t="n"/>
      <c r="Q7" s="40">
        <f>IF(N7="WP",INDEX($J$6:$J$20,MATCH(O7,$B$6:$B$20,0))+IFERROR(P7,0)/1440,IF(N7="TIME",IFERROR(TIMEVALUE(O7),"")+IFERROR(P7,0)/1440,IF(N7="ASTRO",IF(O7="sunset",dataSunsetTime,IF(O7="sunrise",dataSunriseTime,IF(O7="moonrise",dataMoonriseTime,IF(O7="moonset",dataMoonsetTime,IF(O7="mwrise",dataMWRiseTime,IF(O7="mwtransit",dataMWTransitTime,IF(O7="mwset",dataMWSetTime,"")))))))+IFERROR(P7,0)/1440,"")))</f>
        <v/>
      </c>
      <c r="R7" s="40">
        <f>IF(OR(Q7="",Q8=""),"",Q8-Q7)</f>
        <v/>
      </c>
      <c r="S7" s="39" t="inlineStr">
        <is>
          <t>Track</t>
        </is>
      </c>
      <c r="T7" s="39" t="inlineStr">
        <is>
          <t>sun</t>
        </is>
      </c>
      <c r="U7" s="39" t="inlineStr">
        <is>
          <t>Cinematic ease</t>
        </is>
      </c>
      <c r="V7" s="39" t="inlineStr">
        <is>
          <t>—</t>
        </is>
      </c>
      <c r="W7" s="39" t="inlineStr">
        <is>
          <t>—</t>
        </is>
      </c>
      <c r="X7" s="39" t="n">
        <v>0</v>
      </c>
      <c r="Y7" s="39" t="n">
        <v>0</v>
      </c>
      <c r="Z7" s="39" t="inlineStr">
        <is>
          <t>Comfortable</t>
        </is>
      </c>
      <c r="AA7" s="52" t="inlineStr">
        <is>
          <t>~19 min</t>
        </is>
      </c>
      <c r="AB7" s="39" t="inlineStr">
        <is>
          <t>Slew to sun (Phase A) then track at sky rate (Phase B)</t>
        </is>
      </c>
      <c r="AC7" s="33" t="n"/>
      <c r="AD7" s="43" t="n">
        <v>3</v>
      </c>
      <c r="AE7" s="43" t="inlineStr">
        <is>
          <t>14:45:02</t>
        </is>
      </c>
      <c r="AF7" s="43" t="inlineStr">
        <is>
          <t>marker</t>
        </is>
      </c>
      <c r="AG7" s="43" t="n"/>
      <c r="AH7" s="43" t="n"/>
      <c r="AI7" s="43" t="n">
        <v>105.8</v>
      </c>
      <c r="AJ7" s="43" t="n">
        <v>8</v>
      </c>
      <c r="AK7" s="43" t="n"/>
      <c r="AL7" s="43" t="n"/>
      <c r="AM7" s="43" t="inlineStr">
        <is>
          <t>Harbour</t>
        </is>
      </c>
    </row>
    <row r="8" ht="15" customHeight="1" s="21">
      <c r="B8" s="42">
        <f>"WP" &amp; TEXT(ROW()-5,"00")</f>
        <v/>
      </c>
      <c r="C8" s="41" t="inlineStr">
        <is>
          <t>DRIVE</t>
        </is>
      </c>
      <c r="D8" s="41" t="n">
        <v>1</v>
      </c>
      <c r="E8" s="41" t="n">
        <v>5</v>
      </c>
      <c r="F8" s="41" t="n">
        <v>20</v>
      </c>
      <c r="G8" s="41" t="n"/>
      <c r="H8" s="41" t="n"/>
      <c r="I8" s="37">
        <f>I7+IF(ISBLANK(D8),0,D8)</f>
        <v/>
      </c>
      <c r="J8" s="38">
        <f>IF(C8="DRIVE",J7+IF(E8&gt;0,D8/E8/24,0),IF(C8="STOP",J7+IF(ISBLANK(G8),0,G8/86400),J7))</f>
        <v/>
      </c>
      <c r="K8" s="41" t="inlineStr">
        <is>
          <t>Way03 (+20° turn)</t>
        </is>
      </c>
      <c r="M8" s="51">
        <f>"GP" &amp; TEXT(ROW()-5,"00")</f>
        <v/>
      </c>
      <c r="N8" s="39" t="inlineStr">
        <is>
          <t>ASTRO</t>
        </is>
      </c>
      <c r="O8" s="39" t="inlineStr">
        <is>
          <t>sunset</t>
        </is>
      </c>
      <c r="P8" s="39" t="n"/>
      <c r="Q8" s="40">
        <f>IF(N8="WP",INDEX($J$6:$J$20,MATCH(O8,$B$6:$B$20,0))+IFERROR(P8,0)/1440,IF(N8="TIME",IFERROR(TIMEVALUE(O8),"")+IFERROR(P8,0)/1440,IF(N8="ASTRO",IF(O8="sunset",dataSunsetTime,IF(O8="sunrise",dataSunriseTime,IF(O8="moonrise",dataMoonriseTime,IF(O8="moonset",dataMoonsetTime,IF(O8="mwrise",dataMWRiseTime,IF(O8="mwtransit",dataMWTransitTime,IF(O8="mwset",dataMWSetTime,"")))))))+IFERROR(P8,0)/1440,"")))</f>
        <v/>
      </c>
      <c r="R8" s="40">
        <f>IF(OR(Q8="",Q9=""),"",Q9-Q8)</f>
        <v/>
      </c>
      <c r="S8" s="39" t="inlineStr">
        <is>
          <t>Move</t>
        </is>
      </c>
      <c r="T8" s="39" t="inlineStr">
        <is>
          <t>sun</t>
        </is>
      </c>
      <c r="U8" s="39" t="inlineStr">
        <is>
          <t>Cinematic ease</t>
        </is>
      </c>
      <c r="V8" s="39" t="inlineStr">
        <is>
          <t>—</t>
        </is>
      </c>
      <c r="W8" s="39" t="inlineStr">
        <is>
          <t>—</t>
        </is>
      </c>
      <c r="X8" s="39" t="n">
        <v>30</v>
      </c>
      <c r="Y8" s="39" t="n">
        <v>20</v>
      </c>
      <c r="Z8" s="39" t="inlineStr">
        <is>
          <t>Comfortable</t>
        </is>
      </c>
      <c r="AA8" s="52" t="inlineStr">
        <is>
          <t>~12 min</t>
        </is>
      </c>
      <c r="AB8" s="39" t="inlineStr">
        <is>
          <t>Sun bottom-left frame; held until plan end</t>
        </is>
      </c>
      <c r="AC8" s="33" t="n"/>
      <c r="AD8" s="43" t="n">
        <v>4</v>
      </c>
      <c r="AE8" s="43" t="inlineStr">
        <is>
          <t>14:58:30</t>
        </is>
      </c>
      <c r="AF8" s="43" t="inlineStr">
        <is>
          <t>marker</t>
        </is>
      </c>
      <c r="AG8" s="43" t="n"/>
      <c r="AH8" s="43" t="n"/>
      <c r="AI8" s="43" t="n">
        <v>200.1</v>
      </c>
      <c r="AJ8" s="43" t="n">
        <v>22</v>
      </c>
      <c r="AK8" s="43" t="n"/>
      <c r="AL8" s="43" t="n"/>
      <c r="AM8" s="43" t="inlineStr">
        <is>
          <t>Hill</t>
        </is>
      </c>
    </row>
    <row r="9" ht="15" customHeight="1" s="21">
      <c r="B9" s="42">
        <f>"WP" &amp; TEXT(ROW()-5,"00")</f>
        <v/>
      </c>
      <c r="C9" s="41" t="inlineStr">
        <is>
          <t>DRIVE</t>
        </is>
      </c>
      <c r="D9" s="41" t="n">
        <v>1</v>
      </c>
      <c r="E9" s="41" t="n">
        <v>5</v>
      </c>
      <c r="F9" s="41" t="n">
        <v>0</v>
      </c>
      <c r="G9" s="41" t="n"/>
      <c r="H9" s="41" t="n"/>
      <c r="I9" s="37">
        <f>I8+IF(ISBLANK(D9),0,D9)</f>
        <v/>
      </c>
      <c r="J9" s="38">
        <f>IF(C9="DRIVE",J8+IF(E9&gt;0,D9/E9/24,0),IF(C9="STOP",J8+IF(ISBLANK(G9),0,G9/86400),J8))</f>
        <v/>
      </c>
      <c r="K9" s="41" t="inlineStr">
        <is>
          <t>Way04</t>
        </is>
      </c>
      <c r="M9" s="53">
        <f>"GP" &amp; TEXT(ROW()-5,"00")</f>
        <v/>
      </c>
      <c r="N9" s="54" t="inlineStr">
        <is>
          <t>ASTRO</t>
        </is>
      </c>
      <c r="O9" s="54" t="inlineStr">
        <is>
          <t>sunset</t>
        </is>
      </c>
      <c r="P9" s="54" t="n">
        <v>120</v>
      </c>
      <c r="Q9" s="55">
        <f>IF(N9="WP",INDEX($J$6:$J$20,MATCH(O9,$B$6:$B$20,0))+IFERROR(P9,0)/1440,IF(N9="TIME",IFERROR(TIMEVALUE(O9),"")+IFERROR(P9,0)/1440,IF(N9="ASTRO",IF(O9="sunset",dataSunsetTime,IF(O9="sunrise",dataSunriseTime,IF(O9="moonrise",dataMoonriseTime,IF(O9="moonset",dataMoonsetTime,IF(O9="mwrise",dataMWRiseTime,IF(O9="mwtransit",dataMWTransitTime,IF(O9="mwset",dataMWSetTime,"")))))))+IFERROR(P9,0)/1440,"")))</f>
        <v/>
      </c>
      <c r="R9" s="55">
        <f>IF(OR(Q9="",Q10=""),"",Q10-Q9)</f>
        <v/>
      </c>
      <c r="S9" s="54" t="inlineStr">
        <is>
          <t>END</t>
        </is>
      </c>
      <c r="T9" s="54" t="inlineStr">
        <is>
          <t>—</t>
        </is>
      </c>
      <c r="U9" s="54" t="inlineStr">
        <is>
          <t>—</t>
        </is>
      </c>
      <c r="V9" s="54" t="inlineStr">
        <is>
          <t>—</t>
        </is>
      </c>
      <c r="W9" s="54" t="inlineStr">
        <is>
          <t>—</t>
        </is>
      </c>
      <c r="X9" s="54" t="inlineStr"/>
      <c r="Y9" s="54" t="inlineStr"/>
      <c r="Z9" s="54" t="inlineStr">
        <is>
          <t>—</t>
        </is>
      </c>
      <c r="AA9" s="52" t="inlineStr">
        <is>
          <t>—</t>
        </is>
      </c>
      <c r="AB9" s="39" t="inlineStr">
        <is>
          <t>Plan ends 120 min after sunset</t>
        </is>
      </c>
      <c r="AC9" s="33" t="n"/>
      <c r="AD9" s="43" t="n">
        <v>5</v>
      </c>
      <c r="AE9" s="43" t="inlineStr">
        <is>
          <t>15:10:45</t>
        </is>
      </c>
      <c r="AF9" s="43" t="inlineStr">
        <is>
          <t>astro</t>
        </is>
      </c>
      <c r="AG9" s="43" t="inlineStr">
        <is>
          <t>sunset</t>
        </is>
      </c>
      <c r="AH9" s="43" t="inlineStr">
        <is>
          <t>mid</t>
        </is>
      </c>
      <c r="AI9" s="43" t="n"/>
      <c r="AJ9" s="43" t="n"/>
      <c r="AK9" s="43" t="n">
        <v>30</v>
      </c>
      <c r="AL9" s="43" t="n">
        <v>20</v>
      </c>
      <c r="AM9" s="43" t="inlineStr">
        <is>
          <t>Sunset framed bottom-left</t>
        </is>
      </c>
    </row>
    <row r="10" ht="15" customHeight="1" s="21">
      <c r="B10" s="42">
        <f>"WP" &amp; TEXT(ROW()-5,"00")</f>
        <v/>
      </c>
      <c r="C10" s="41" t="inlineStr">
        <is>
          <t>DRIVE</t>
        </is>
      </c>
      <c r="D10" s="41" t="n">
        <v>1</v>
      </c>
      <c r="E10" s="41" t="n">
        <v>5</v>
      </c>
      <c r="F10" s="41" t="n">
        <v>-20</v>
      </c>
      <c r="G10" s="41" t="n"/>
      <c r="H10" s="41" t="n"/>
      <c r="I10" s="37">
        <f>I9+IF(ISBLANK(D10),0,D10)</f>
        <v/>
      </c>
      <c r="J10" s="38">
        <f>IF(C10="DRIVE",J9+IF(E10&gt;0,D10/E10/24,0),IF(C10="STOP",J9+IF(ISBLANK(G10),0,G10/86400),J9))</f>
        <v/>
      </c>
      <c r="K10" s="41" t="inlineStr">
        <is>
          <t>Way05 (-20° turn) — GP2 fires here</t>
        </is>
      </c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33" t="n"/>
      <c r="AB10" s="33" t="n"/>
      <c r="AC10" s="33" t="n"/>
      <c r="AD10" s="43" t="n">
        <v>6</v>
      </c>
      <c r="AE10" s="43" t="inlineStr">
        <is>
          <t>15:14:10</t>
        </is>
      </c>
      <c r="AF10" s="43" t="inlineStr">
        <is>
          <t>astro</t>
        </is>
      </c>
      <c r="AG10" s="43" t="inlineStr">
        <is>
          <t>MW</t>
        </is>
      </c>
      <c r="AH10" s="43" t="inlineStr">
        <is>
          <t>rise</t>
        </is>
      </c>
      <c r="AI10" s="43" t="n"/>
      <c r="AJ10" s="43" t="n"/>
      <c r="AK10" s="43" t="n">
        <v>-5</v>
      </c>
      <c r="AL10" s="43" t="n">
        <v>-3</v>
      </c>
      <c r="AM10" s="43" t="inlineStr">
        <is>
          <t>MW just clearing horizon</t>
        </is>
      </c>
    </row>
    <row r="11" ht="15" customHeight="1" s="21">
      <c r="B11" s="42">
        <f>"WP" &amp; TEXT(ROW()-5,"00")</f>
        <v/>
      </c>
      <c r="C11" s="41" t="inlineStr">
        <is>
          <t>DRIVE</t>
        </is>
      </c>
      <c r="D11" s="41" t="n">
        <v>2.67</v>
      </c>
      <c r="E11" s="41" t="n">
        <v>5</v>
      </c>
      <c r="F11" s="41" t="n">
        <v>0</v>
      </c>
      <c r="G11" s="41" t="n"/>
      <c r="H11" s="41" t="n"/>
      <c r="I11" s="37">
        <f>I10+IF(ISBLANK(D11),0,D11)</f>
        <v/>
      </c>
      <c r="J11" s="38">
        <f>IF(C11="DRIVE",J10+IF(E11&gt;0,D11/E11/24,0),IF(C11="STOP",J10+IF(ISBLANK(G11),0,G11/86400),J10))</f>
        <v/>
      </c>
      <c r="K11" s="41" t="inlineStr">
        <is>
          <t>Way06 — final straight</t>
        </is>
      </c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  <c r="AE11" s="44" t="n"/>
      <c r="AF11" s="44" t="n"/>
      <c r="AG11" s="44" t="n"/>
      <c r="AH11" s="44" t="n"/>
      <c r="AI11" s="44" t="n"/>
      <c r="AJ11" s="44" t="n"/>
      <c r="AK11" s="44" t="n"/>
      <c r="AL11" s="44" t="n"/>
    </row>
    <row r="12" ht="15" customHeight="1" s="21">
      <c r="B12" s="42">
        <f>"WP" &amp; TEXT(ROW()-5,"00")</f>
        <v/>
      </c>
      <c r="C12" s="41" t="inlineStr">
        <is>
          <t>STOP</t>
        </is>
      </c>
      <c r="D12" s="41" t="n"/>
      <c r="E12" s="41" t="n">
        <v>0</v>
      </c>
      <c r="F12" s="41" t="n"/>
      <c r="G12" s="41" t="n">
        <v>0</v>
      </c>
      <c r="H12" s="41" t="n"/>
      <c r="I12" s="37">
        <f>I11+IF(ISBLANK(D12),0,D12)</f>
        <v/>
      </c>
      <c r="J12" s="38">
        <f>IF(C12="DRIVE",J11+IF(E12&gt;0,D12/E12/24,0),IF(C12="STOP",J11+IF(ISBLANK(G12),0,G12/86400),J11))</f>
        <v/>
      </c>
      <c r="K12" s="41" t="inlineStr">
        <is>
          <t>Cart parked, T0-40</t>
        </is>
      </c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4" t="n"/>
      <c r="AH12" s="44" t="n"/>
      <c r="AI12" s="44" t="n"/>
      <c r="AJ12" s="44" t="n"/>
      <c r="AK12" s="44" t="n"/>
      <c r="AL12" s="44" t="n"/>
    </row>
    <row r="13"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</row>
    <row r="14"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 t="n"/>
      <c r="AL14" s="44" t="n"/>
    </row>
    <row r="15"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4" t="n"/>
      <c r="AH15" s="44" t="n"/>
      <c r="AI15" s="44" t="n"/>
      <c r="AJ15" s="44" t="n"/>
      <c r="AK15" s="44" t="n"/>
      <c r="AL15" s="44" t="n"/>
    </row>
    <row r="16" ht="15" customHeight="1" s="21">
      <c r="B16" s="23" t="inlineStr">
        <is>
          <t>Cell colour legend:</t>
        </is>
      </c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F16" s="44" t="n"/>
      <c r="AG16" s="44" t="n"/>
      <c r="AH16" s="44" t="n"/>
      <c r="AI16" s="44" t="n"/>
      <c r="AJ16" s="44" t="n"/>
      <c r="AK16" s="44" t="n"/>
      <c r="AL16" s="44" t="n"/>
    </row>
    <row r="17" ht="15" customHeight="1" s="21">
      <c r="B17" s="45" t="inlineStr">
        <is>
          <t xml:space="preserve">  Pale yellow</t>
        </is>
      </c>
      <c r="C17" s="20" t="inlineStr">
        <is>
          <t xml:space="preserve">  = editable / seeded from CartLog</t>
        </is>
      </c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  <c r="AF17" s="44" t="n"/>
      <c r="AG17" s="44" t="n"/>
      <c r="AH17" s="44" t="n"/>
      <c r="AI17" s="44" t="n"/>
      <c r="AJ17" s="44" t="n"/>
      <c r="AK17" s="44" t="n"/>
      <c r="AL17" s="44" t="n"/>
    </row>
    <row r="18" ht="15" customHeight="1" s="21">
      <c r="B18" s="46" t="inlineStr">
        <is>
          <t xml:space="preserve">  Light grey</t>
        </is>
      </c>
      <c r="C18" s="20" t="inlineStr">
        <is>
          <t xml:space="preserve">  = derived by formula (auto-updates when authored cells change)</t>
        </is>
      </c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4" t="n"/>
      <c r="AL18" s="44" t="n"/>
    </row>
    <row r="19" ht="15" customHeight="1" s="21">
      <c r="B19" s="47" t="inlineStr">
        <is>
          <t xml:space="preserve">  Medium grey</t>
        </is>
      </c>
      <c r="C19" s="20" t="inlineStr">
        <is>
          <t xml:space="preserve">  = read-only reference from GimbalLog</t>
        </is>
      </c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</row>
    <row r="20"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44" t="n"/>
      <c r="AJ20" s="44" t="n"/>
      <c r="AK20" s="44" t="n"/>
      <c r="AL20" s="44" t="n"/>
    </row>
    <row r="21"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</row>
    <row r="22" ht="15" customHeight="1" s="21">
      <c r="B22" s="23" t="inlineStr">
        <is>
          <t>P3 — formulas live on derived columns:</t>
        </is>
      </c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4" t="n"/>
      <c r="AH22" s="44" t="n"/>
      <c r="AI22" s="44" t="n"/>
      <c r="AJ22" s="44" t="n"/>
      <c r="AK22" s="44" t="n"/>
      <c r="AL22" s="44" t="n"/>
    </row>
    <row r="23" ht="15" customHeight="1" s="21">
      <c r="B23" s="20" t="inlineStr">
        <is>
          <t>• Col B Step:    =ROW()-5</t>
        </is>
      </c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</row>
    <row r="24" ht="15" customHeight="1" s="21">
      <c r="B24" s="20" t="inlineStr">
        <is>
          <t>• Col I Dist Σ:  =I_prev + IF(ISBLANK(D),0,D)</t>
        </is>
      </c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</row>
    <row r="25" ht="15" customHeight="1" s="21">
      <c r="B25" s="20" t="inlineStr">
        <is>
          <t>• Col J Arrives: first row = dataShootStart; subsequent rows = J_prev + leg duration</t>
        </is>
      </c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</row>
    <row r="26" ht="15" customHeight="1" s="21">
      <c r="B26" s="20" t="inlineStr">
        <is>
          <t xml:space="preserve">  where leg duration = D/E/24 days for DRIVE (D=m, E=m/hr), G/86400 for STOP</t>
        </is>
      </c>
    </row>
    <row r="27" ht="15" customHeight="1" s="21">
      <c r="B27" s="20" t="inlineStr">
        <is>
          <t>• Edit a Speed or Distance cell and watch Dist Σ and Arrives update instantly.</t>
        </is>
      </c>
    </row>
    <row r="28" ht="15" customHeight="1" s="21">
      <c r="B28" s="20" t="inlineStr">
        <is>
          <t>• Try changing E6 from 5 to 10 m/hr — total shoot time halves.</t>
        </is>
      </c>
    </row>
  </sheetData>
  <mergeCells count="3">
    <mergeCell ref="M3:AB3"/>
    <mergeCell ref="AD3:AM3"/>
    <mergeCell ref="B3:K3"/>
  </mergeCells>
  <dataValidations count="10">
    <dataValidation sqref="C6:C30" showDropDown="0" showInputMessage="0" showErrorMessage="0" allowBlank="1" type="list" errorStyle="stop" operator="between">
      <formula1>"DRIVE,STOP,TURN,WAYPOINT,HOLD"</formula1>
      <formula2>0</formula2>
    </dataValidation>
    <dataValidation sqref="N6:N30" showDropDown="0" showInputMessage="0" showErrorMessage="0" allowBlank="1" type="list" errorStyle="stop" operator="between">
      <formula1>"WP,TIME,ASTRO"</formula1>
      <formula2>0</formula2>
    </dataValidation>
    <dataValidation sqref="P6:P30" showDropDown="0" showInputMessage="0" showErrorMessage="0" allowBlank="1" type="list" errorStyle="stop" operator="between">
      <formula1>"Pan Follow,Approach,Lock"</formula1>
      <formula2>0</formula2>
    </dataValidation>
    <dataValidation sqref="Q6:Q30" showDropDown="0" showInputMessage="0" showErrorMessage="0" allowBlank="1" type="list" errorStyle="stop" operator="between">
      <formula1>"pose,log-label,pose-offset,sun,moon,mw,sunrise,sunset,moonrise,moonset"</formula1>
      <formula2>0</formula2>
    </dataValidation>
    <dataValidation sqref="S6:S30" showDropDown="0" showInputMessage="0" showErrorMessage="0" allowBlank="1" type="list" errorStyle="stop" operator="between">
      <formula1>"rise,mid,end"</formula1>
      <formula2>0</formula2>
    </dataValidation>
    <dataValidation sqref="T6:T30" showDropDown="0" showInputMessage="0" showErrorMessage="0" allowBlank="1" type="list" errorStyle="stop" operator="between">
      <formula1>"Imperceptible,Cinematic ease,Deliberate pan,Fast,Snap,Computed"</formula1>
      <formula2>0</formula2>
    </dataValidation>
    <dataValidation sqref="S6:S25" showDropDown="0" showInputMessage="0" showErrorMessage="0" allowBlank="1" type="list">
      <formula1>"Pan Follow,Lock,Move,Track,Track-yaw,END"</formula1>
    </dataValidation>
    <dataValidation sqref="N6:N25" showDropDown="0" showInputMessage="0" showErrorMessage="0" allowBlank="1" type="list">
      <formula1>"WP,TIME,ASTRO"</formula1>
    </dataValidation>
    <dataValidation sqref="U6:U25" showDropDown="0" showInputMessage="0" showErrorMessage="0" allowBlank="1" type="list">
      <formula1>"Imperceptible,Cinematic ease,Deliberate pan,Fast,Snap,Computed,—"</formula1>
    </dataValidation>
    <dataValidation sqref="Z6:Z25" showDropDown="0" showInputMessage="0" showErrorMessage="0" allowBlank="1" type="list">
      <formula1>"none,Just-perceptible,Comfortable,Cinematic,—"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2026-05-25T11:09:41Z</dcterms:created>
  <dcterms:modified xmlns:dcterms="http://purl.org/dc/terms/" xmlns:xsi="http://www.w3.org/2001/XMLSchema-instance" xsi:type="dcterms:W3CDTF">2026-05-26T12:09:55Z</dcterms:modified>
  <cp:revision>0</cp:revision>
</cp:coreProperties>
</file>